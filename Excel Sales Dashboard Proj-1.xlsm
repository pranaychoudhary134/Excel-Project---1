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527" codeName="{82680DD9-3F13-7979-5B5F-3D2375947C00}"/>
  <workbookPr codeName="ThisWorkbook" defaultThemeVersion="166925"/>
  <mc:AlternateContent xmlns:mc="http://schemas.openxmlformats.org/markup-compatibility/2006">
    <mc:Choice Requires="x15">
      <x15ac:absPath xmlns:x15ac="http://schemas.microsoft.com/office/spreadsheetml/2010/11/ac" url="C:\Users\Pranay\Downloads\"/>
    </mc:Choice>
  </mc:AlternateContent>
  <xr:revisionPtr revIDLastSave="0" documentId="8_{CB5FABA2-18BF-453F-8221-A4B3EBC02245}" xr6:coauthVersionLast="47" xr6:coauthVersionMax="47" xr10:uidLastSave="{00000000-0000-0000-0000-000000000000}"/>
  <bookViews>
    <workbookView xWindow="-108" yWindow="-108" windowWidth="23256" windowHeight="13896" activeTab="1" xr2:uid="{81D512C5-DFD0-45A9-BA7A-3679803E1A90}"/>
  </bookViews>
  <sheets>
    <sheet name="Dashboard" sheetId="4" r:id="rId1"/>
    <sheet name="Raw Data" sheetId="1" r:id="rId2"/>
  </sheets>
  <definedNames>
    <definedName name="Slicer_Region11">#N/A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<sst xmlns="http://schemas.openxmlformats.org/spreadsheetml/2006/main" count="467" uniqueCount="306">
  <si>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</si>
  <si>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</si>
  <si>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</si>
  <si>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</si>
  <si>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</si>
  <si>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</si>
  <si>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</si>
  <si>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</si>
  <si>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</si>
  <si>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</si>
  <si>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</si>
  <si>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</si>
  <si>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</si>
  <si>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</si>
  <si>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</si>
  <si>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</si>
  <si>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</si>
  <si>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</si>
  <si>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</si>
  <si>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</si>
  <si>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</si>
  <si>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</si>
  <si>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</si>
  <si>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</si>
  <si>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</si>
  <si>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</si>
  <si>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</si>
  <si>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</si>
  <si>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</si>
  <si>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</si>
  <si>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</si>
  <si>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</si>
  <si>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</si>
  <si>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</si>
  <si>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</si>
  <si>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</si>
  <si>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</si>
  <si>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</si>
  <si>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</si>
  <si>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</si>
  <si>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</si>
  <si>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</si>
  <si>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</si>
  <si>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</si>
  <si>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</si>
  <si>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</si>
  <si>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</si>
  <si>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</si>
  <si>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</si>
  <si>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</si>
  <si>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</si>
  <si>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</si>
  <si>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</si>
  <si>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</si>
  <si>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</si>
  <si>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</si>
  <si>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</si>
  <si>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</si>
  <si>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</si>
  <si>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</si>
  <si>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</si>
  <si>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</si>
  <si>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</si>
  <si>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</si>
  <si>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</si>
  <si>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</si>
  <si>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</si>
  <si>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</si>
  <si>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</si>
  <si>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</si>
  <si>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</si>
  <si>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</si>
  <si>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</si>
  <si>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</si>
  <si>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</si>
  <si>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</si>
  <si>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</si>
  <si>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</si>
  <si>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</si>
  <si>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</si>
  <si>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</si>
  <si>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</si>
  <si>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</si>
  <si>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</si>
  <si>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</si>
  <si>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</si>
  <si>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</si>
  <si>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</si>
  <si>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</si>
  <si>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</si>
  <si>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</si>
  <si>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</si>
  <si>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</si>
  <si>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</si>
  <si>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</si>
  <si>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</si>
  <si>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</si>
  <si>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</si>
  <si>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</si>
  <si>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</si>
  <si>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</si>
  <si>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</si>
  <si>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</si>
  <si>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</si>
  <si>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</si>
  <si>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</si>
  <si>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</si>
  <si>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</si>
  <si>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</si>
  <si>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</si>
  <si>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</si>
  <si>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</si>
  <si>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</si>
  <si>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</si>
  <si>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</si>
  <si>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</si>
  <si>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</si>
  <si>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</si>
  <si>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</si>
  <si>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</si>
  <si>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</si>
  <si>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</si>
  <si>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</si>
  <si>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</si>
  <si>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</si>
  <si>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</si>
  <si>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</si>
  <si>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</si>
  <si>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</si>
  <si>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</si>
  <si>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</si>
  <si>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</si>
  <si>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</si>
  <si>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</si>
  <si>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</si>
  <si>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</si>
  <si>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</si>
  <si>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</si>
  <si>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</si>
  <si>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</si>
  <si>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</si>
  <si>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</si>
  <si>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</si>
  <si>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</si>
  <si>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</si>
  <si>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</si>
  <si>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</si>
  <si>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</si>
  <si>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</si>
  <si>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</si>
  <si>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</si>
  <si>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</si>
  <si>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</si>
  <si>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</si>
  <si>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</si>
  <si>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</si>
  <si>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</si>
  <si>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</si>
  <si>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</si>
  <si>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</si>
  <si>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</si>
  <si>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</si>
  <si>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</si>
  <si>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</si>
  <si>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</si>
  <si>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</si>
  <si>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</si>
  <si>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</si>
  <si>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</si>
  <si>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</si>
  <si>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</si>
  <si>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</si>
  <si>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</si>
  <si>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</si>
  <si>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</si>
  <si>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</si>
  <si>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</si>
  <si>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</si>
  <si>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</si>
  <si>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</si>
  <si>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</si>
  <si>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</si>
  <si>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</si>
  <si>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</si>
  <si>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</si>
  <si>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</si>
  <si>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</si>
  <si>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</si>
  <si>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</si>
  <si>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</si>
  <si>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</si>
  <si>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</si>
  <si>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</si>
  <si>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</si>
  <si>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</si>
  <si>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</si>
  <si>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</si>
  <si>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</si>
  <si>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</si>
  <si>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</si>
  <si>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</si>
  <si>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</si>
  <si>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</si>
  <si>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</si>
  <si>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</si>
  <si>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</si>
  <si>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</si>
  <si>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</si>
  <si>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</si>
  <si>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</si>
  <si>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</si>
  <si>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</si>
  <si>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</si>
  <si>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</si>
  <si>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</si>
  <si>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</si>
  <si>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</si>
  <si>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</si>
  <si>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</si>
  <si>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</si>
  <si>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</si>
  <si>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</si>
  <si>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</si>
  <si>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</si>
  <si>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</si>
  <si>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</si>
  <si>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</si>
  <si>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</si>
  <si>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</si>
  <si>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</si>
  <si>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</si>
  <si>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</si>
  <si>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</si>
  <si>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</si>
  <si>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</si>
  <si>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</si>
  <si>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</si>
  <si>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</si>
  <si>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</si>
  <si>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</si>
  <si>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</si>
  <si>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</si>
  <si>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</si>
  <si>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</si>
  <si>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</si>
  <si>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</si>
  <si>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</si>
  <si>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</si>
  <si>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</si>
  <si>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</si>
  <si>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</si>
  <si>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</si>
  <si>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</si>
  <si>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</si>
  <si>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</si>
  <si>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</si>
  <si>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</si>
  <si>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</si>
  <si>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</si>
  <si>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</si>
  <si>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</si>
  <si>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</si>
  <si>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</si>
  <si>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</si>
  <si>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</si>
  <si>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</si>
  <si>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</si>
  <si>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</si>
  <si>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</si>
  <si>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</si>
  <si>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</si>
  <si>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</si>
  <si>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</si>
  <si>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</si>
  <si>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</si>
  <si>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</si>
  <si>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</si>
  <si>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</si>
  <si>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</si>
  <si>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</si>
  <si>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</si>
  <si>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</si>
  <si>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</si>
  <si>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</si>
  <si>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</si>
  <si>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</si>
  <si>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</si>
  <si>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</si>
  <si>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</si>
  <si>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</si>
  <si>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</si>
  <si>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</si>
  <si>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</si>
  <si>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</si>
  <si>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</si>
  <si>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</si>
  <si>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</si>
  <si>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</si>
  <si>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</si>
  <si>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</si>
  <si>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</si>
  <si>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</si>
  <si>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</si>
  <si>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Grand Total</t>
  </si>
  <si>
    <t>Target Hit</t>
  </si>
  <si>
    <t>Away From Target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</si>
</sst>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3">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cellXfs>
  <cellStyles count="2">
    <cellStyle name="Normal" xfId="0" builtinId="0"/>
    <cellStyle name="Percent" xfId="1" builtinId="5"/>
  </cellStyles>
  <dxfs count="2">
    <dxf>
      <fill>
        <patternFill>
          <bgColor theme="0" tint="-0.14996795556505021"/>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1"/>
    </tableStyle>
    <tableStyle name="Slicer Style 2" pivot="0" table="0" count="5" xr9:uid="{11681864-2CF6-49E7-8248-B86EC521CA19}">
      <tableStyleElement type="wholeTable" dxfId="0"/>
    </tableStyle>
  </tableStyles>
  <colors>
    <mruColors>
      <color rgb="FFFF5050"/>
    </mruColors>
  </colors>
  <extLst>
    <ext xmlns:x14="http://schemas.microsoft.com/office/spreadsheetml/2009/9/main" uri="{46F421CA-312F-682f-3DD2-61675219B42D}">
      <x14:dxfs count="8">
        <dxf>
          <fill>
            <patternFill>
              <bgColor rgb="FFFF5050"/>
            </patternFill>
          </fill>
        </dxf>
        <dxf>
          <fill>
            <patternFill>
              <bgColor theme="7" tint="0.59996337778862885"/>
            </patternFill>
          </fill>
        </dxf>
        <dxf>
          <fill>
            <patternFill>
              <bgColor theme="8" tint="-0.24994659260841701"/>
            </patternFill>
          </fill>
        </dxf>
        <dxf>
          <fill>
            <patternFill>
              <bgColor theme="9" tint="0.39994506668294322"/>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Sales Dashboard Proj-1.xlsm]Dashboard!PivotTable6</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Dashboard!$B$5</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Dashboard!$A$6:$A$11</c:f>
              <c:strCache>
                <c:ptCount val="5"/>
                <c:pt idx="0">
                  <c:v>Kahkasha Parveen</c:v>
                </c:pt>
                <c:pt idx="1">
                  <c:v>Mukesh Nagar</c:v>
                </c:pt>
                <c:pt idx="2">
                  <c:v>Sheeba Joseph</c:v>
                </c:pt>
                <c:pt idx="3">
                  <c:v>Raj Verma</c:v>
                </c:pt>
                <c:pt idx="4">
                  <c:v>Sanju Ramdas</c:v>
                </c:pt>
              </c:strCache>
            </c:strRef>
          </c:cat>
          <c:val>
            <c:numRef>
              <c:f>Dashboard!$B$6:$B$11</c:f>
              <c:numCache>
                <c:formatCode>General</c:formatCode>
                <c:ptCount val="5"/>
                <c:pt idx="0">
                  <c:v>351</c:v>
                </c:pt>
                <c:pt idx="1">
                  <c:v>351</c:v>
                </c:pt>
                <c:pt idx="2">
                  <c:v>344</c:v>
                </c:pt>
                <c:pt idx="3">
                  <c:v>339</c:v>
                </c:pt>
                <c:pt idx="4">
                  <c:v>332</c:v>
                </c:pt>
              </c:numCache>
            </c:numRef>
          </c:val>
          <c:extLst>
            <c:ext xmlns:c16="http://schemas.microsoft.com/office/drawing/2014/chart" uri="{C3380CC4-5D6E-409C-BE32-E72D297353CC}">
              <c16:uniqueId val="{00000000-F957-4B73-B965-982C83C5DA76}"/>
            </c:ext>
          </c:extLst>
        </c:ser>
        <c:dLbls>
          <c:showLegendKey val="0"/>
          <c:showVal val="0"/>
          <c:showCatName val="0"/>
          <c:showSerName val="0"/>
          <c:showPercent val="0"/>
          <c:showBubbleSize val="0"/>
        </c:dLbls>
        <c:gapWidth val="182"/>
        <c:axId val="692989568"/>
        <c:axId val="692990528"/>
      </c:barChart>
      <c:catAx>
        <c:axId val="692989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692990528"/>
        <c:crosses val="autoZero"/>
        <c:auto val="1"/>
        <c:lblAlgn val="ctr"/>
        <c:lblOffset val="100"/>
        <c:noMultiLvlLbl val="0"/>
      </c:catAx>
      <c:valAx>
        <c:axId val="692990528"/>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929895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Sales Dashboard Proj-1.xlsm]Dashboard!PivotTable5</c:name>
    <c:fmtId val="0"/>
  </c:pivotSource>
  <c:chart>
    <c:autoTitleDeleted val="1"/>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pivotFmt>
      <c:pivotFmt>
        <c:idx val="11"/>
        <c:spPr>
          <a:solidFill>
            <a:schemeClr val="accent1"/>
          </a:solidFill>
          <a:ln w="25400">
            <a:solidFill>
              <a:schemeClr val="lt1"/>
            </a:solidFill>
          </a:ln>
          <a:effectLst/>
          <a:sp3d contourW="25400">
            <a:contourClr>
              <a:schemeClr val="lt1"/>
            </a:contourClr>
          </a:sp3d>
        </c:spPr>
      </c:pivotFmt>
      <c:pivotFmt>
        <c:idx val="12"/>
        <c:spPr>
          <a:solidFill>
            <a:schemeClr val="accent1"/>
          </a:solidFill>
          <a:ln w="25400">
            <a:solidFill>
              <a:schemeClr val="lt1"/>
            </a:solidFill>
          </a:ln>
          <a:effectLst/>
          <a:sp3d contourW="25400">
            <a:contourClr>
              <a:schemeClr val="lt1"/>
            </a:contourClr>
          </a:sp3d>
        </c:spPr>
      </c:pivotFmt>
      <c:pivotFmt>
        <c:idx val="13"/>
        <c:spPr>
          <a:solidFill>
            <a:schemeClr val="accent1"/>
          </a:solidFill>
          <a:ln w="25400">
            <a:solidFill>
              <a:schemeClr val="lt1"/>
            </a:solidFill>
          </a:ln>
          <a:effectLst/>
          <a:sp3d contourW="25400">
            <a:contourClr>
              <a:schemeClr val="lt1"/>
            </a:contourClr>
          </a:sp3d>
        </c:spPr>
      </c:pivotFmt>
      <c:pivotFmt>
        <c:idx val="14"/>
        <c:spPr>
          <a:solidFill>
            <a:schemeClr val="accent1"/>
          </a:solidFill>
          <a:ln w="25400">
            <a:solidFill>
              <a:schemeClr val="lt1"/>
            </a:solidFill>
          </a:ln>
          <a:effectLst/>
          <a:sp3d contourW="25400">
            <a:contourClr>
              <a:schemeClr val="lt1"/>
            </a:contourClr>
          </a:sp3d>
        </c:spPr>
      </c:pivotFmt>
      <c:pivotFmt>
        <c:idx val="15"/>
        <c:spPr>
          <a:solidFill>
            <a:schemeClr val="accent1"/>
          </a:solidFill>
          <a:ln w="25400">
            <a:solidFill>
              <a:schemeClr val="lt1"/>
            </a:solidFill>
          </a:ln>
          <a:effectLst/>
          <a:sp3d contourW="25400">
            <a:contourClr>
              <a:schemeClr val="lt1"/>
            </a:contourClr>
          </a:sp3d>
        </c:spPr>
      </c:pivotFmt>
      <c:pivotFmt>
        <c:idx val="16"/>
        <c:spPr>
          <a:solidFill>
            <a:schemeClr val="accent1"/>
          </a:solidFill>
          <a:ln w="25400">
            <a:solidFill>
              <a:schemeClr val="lt1"/>
            </a:solidFill>
          </a:ln>
          <a:effectLst/>
          <a:sp3d contourW="25400">
            <a:contourClr>
              <a:schemeClr val="lt1"/>
            </a:contourClr>
          </a:sp3d>
        </c:spPr>
      </c:pivotFmt>
      <c:pivotFmt>
        <c:idx val="17"/>
        <c:spPr>
          <a:solidFill>
            <a:schemeClr val="accent1"/>
          </a:solidFill>
          <a:ln w="25400">
            <a:solidFill>
              <a:schemeClr val="lt1"/>
            </a:solidFill>
          </a:ln>
          <a:effectLst/>
          <a:sp3d contourW="25400">
            <a:contourClr>
              <a:schemeClr val="lt1"/>
            </a:contourClr>
          </a:sp3d>
        </c:spPr>
      </c:pivotFmt>
      <c:pivotFmt>
        <c:idx val="18"/>
        <c:spPr>
          <a:solidFill>
            <a:schemeClr val="accent1"/>
          </a:solidFill>
          <a:ln w="25400">
            <a:solidFill>
              <a:schemeClr val="lt1"/>
            </a:solidFill>
          </a:ln>
          <a:effectLst/>
          <a:sp3d contourW="25400">
            <a:contourClr>
              <a:schemeClr val="lt1"/>
            </a:contourClr>
          </a:sp3d>
        </c:spPr>
      </c:pivotFmt>
    </c:pivotFmts>
    <c:view3D>
      <c:rotX val="75"/>
      <c:rotY val="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Dashboard!$E$5</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46E8-4DEE-A81E-3C66917F43DE}"/>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46E8-4DEE-A81E-3C66917F43DE}"/>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46E8-4DEE-A81E-3C66917F43DE}"/>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46E8-4DEE-A81E-3C66917F43DE}"/>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46E8-4DEE-A81E-3C66917F43D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showLeaderLines val="0"/>
            <c:extLst>
              <c:ext xmlns:c15="http://schemas.microsoft.com/office/drawing/2012/chart" uri="{CE6537A1-D6FC-4f65-9D91-7224C49458BB}"/>
            </c:extLst>
          </c:dLbls>
          <c:cat>
            <c:strRef>
              <c:f>Dashboard!$D$6:$D$11</c:f>
              <c:strCache>
                <c:ptCount val="5"/>
                <c:pt idx="0">
                  <c:v>Omprakash O</c:v>
                </c:pt>
                <c:pt idx="1">
                  <c:v>Swarnlata Borse</c:v>
                </c:pt>
                <c:pt idx="2">
                  <c:v>Rohit Nishchal</c:v>
                </c:pt>
                <c:pt idx="3">
                  <c:v>Krishana Kumar</c:v>
                </c:pt>
                <c:pt idx="4">
                  <c:v>Manoj Kumar</c:v>
                </c:pt>
              </c:strCache>
            </c:strRef>
          </c:cat>
          <c:val>
            <c:numRef>
              <c:f>Dashboard!$E$6:$E$11</c:f>
              <c:numCache>
                <c:formatCode>General</c:formatCode>
                <c:ptCount val="5"/>
                <c:pt idx="0">
                  <c:v>143</c:v>
                </c:pt>
                <c:pt idx="1">
                  <c:v>189</c:v>
                </c:pt>
                <c:pt idx="2">
                  <c:v>207</c:v>
                </c:pt>
                <c:pt idx="3">
                  <c:v>245</c:v>
                </c:pt>
                <c:pt idx="4">
                  <c:v>281</c:v>
                </c:pt>
              </c:numCache>
            </c:numRef>
          </c:val>
          <c:extLst>
            <c:ext xmlns:c16="http://schemas.microsoft.com/office/drawing/2014/chart" uri="{C3380CC4-5D6E-409C-BE32-E72D297353CC}">
              <c16:uniqueId val="{00000000-DB7C-4790-A9E3-AD2B8CF63A48}"/>
            </c:ext>
          </c:extLst>
        </c:ser>
        <c:dLbls>
          <c:showLegendKey val="0"/>
          <c:showVal val="0"/>
          <c:showCatName val="0"/>
          <c:showSerName val="0"/>
          <c:showPercent val="0"/>
          <c:showBubbleSize val="0"/>
          <c:showLeaderLines val="0"/>
        </c:dLbls>
      </c:pie3DChart>
      <c:spPr>
        <a:noFill/>
        <a:ln>
          <a:noFill/>
        </a:ln>
        <a:effectLst/>
      </c:spPr>
    </c:plotArea>
    <c:legend>
      <c:legendPos val="r"/>
      <c:layout>
        <c:manualLayout>
          <c:xMode val="edge"/>
          <c:yMode val="edge"/>
          <c:x val="0.62521510469086106"/>
          <c:y val="0.14197600299962504"/>
          <c:w val="0.33092524618633196"/>
          <c:h val="0.64878608923884518"/>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Sales Dashboard Proj-1.xlsm]Dashboard!PivotTable8</c:name>
    <c:fmtId val="0"/>
  </c:pivotSource>
  <c:chart>
    <c:autoTitleDeleted val="1"/>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765132332026779"/>
          <c:y val="9.3062605752961089E-2"/>
          <c:w val="0.74613410107877487"/>
          <c:h val="0.4434503110968997"/>
        </c:manualLayout>
      </c:layout>
      <c:lineChart>
        <c:grouping val="standard"/>
        <c:varyColors val="0"/>
        <c:ser>
          <c:idx val="0"/>
          <c:order val="0"/>
          <c:tx>
            <c:strRef>
              <c:f>Dashboard!$H$5</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Dashboard!$G$6:$G$11</c:f>
              <c:strCache>
                <c:ptCount val="5"/>
                <c:pt idx="0">
                  <c:v>Kahkasha Parveen</c:v>
                </c:pt>
                <c:pt idx="1">
                  <c:v>Mukesh Nagar</c:v>
                </c:pt>
                <c:pt idx="2">
                  <c:v>Sheeba Joseph</c:v>
                </c:pt>
                <c:pt idx="3">
                  <c:v>Raj Verma</c:v>
                </c:pt>
                <c:pt idx="4">
                  <c:v>Sanju Ramdas</c:v>
                </c:pt>
              </c:strCache>
            </c:strRef>
          </c:cat>
          <c:val>
            <c:numRef>
              <c:f>Dashboard!$H$6:$H$11</c:f>
              <c:numCache>
                <c:formatCode>0.00%</c:formatCode>
                <c:ptCount val="5"/>
                <c:pt idx="0">
                  <c:v>0.70199999999999996</c:v>
                </c:pt>
                <c:pt idx="1">
                  <c:v>0.70199999999999996</c:v>
                </c:pt>
                <c:pt idx="2">
                  <c:v>0.68799999999999994</c:v>
                </c:pt>
                <c:pt idx="3">
                  <c:v>0.67800000000000005</c:v>
                </c:pt>
                <c:pt idx="4">
                  <c:v>0.66400000000000003</c:v>
                </c:pt>
              </c:numCache>
            </c:numRef>
          </c:val>
          <c:smooth val="0"/>
          <c:extLst>
            <c:ext xmlns:c16="http://schemas.microsoft.com/office/drawing/2014/chart" uri="{C3380CC4-5D6E-409C-BE32-E72D297353CC}">
              <c16:uniqueId val="{00000000-790C-4E3F-BD2F-937CA14FC740}"/>
            </c:ext>
          </c:extLst>
        </c:ser>
        <c:dLbls>
          <c:showLegendKey val="0"/>
          <c:showVal val="0"/>
          <c:showCatName val="0"/>
          <c:showSerName val="0"/>
          <c:showPercent val="0"/>
          <c:showBubbleSize val="0"/>
        </c:dLbls>
        <c:marker val="1"/>
        <c:smooth val="0"/>
        <c:axId val="701533088"/>
        <c:axId val="883773888"/>
      </c:lineChart>
      <c:catAx>
        <c:axId val="701533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883773888"/>
        <c:crosses val="autoZero"/>
        <c:auto val="1"/>
        <c:lblAlgn val="ctr"/>
        <c:lblOffset val="100"/>
        <c:noMultiLvlLbl val="0"/>
      </c:catAx>
      <c:valAx>
        <c:axId val="883773888"/>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70153308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Sales Dashboard Proj-1.xlsm]Dashboard!PivotTable7</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Dashboard!$K$5</c:f>
              <c:strCache>
                <c:ptCount val="1"/>
                <c:pt idx="0">
                  <c:v>Total</c:v>
                </c:pt>
              </c:strCache>
            </c:strRef>
          </c:tx>
          <c:spPr>
            <a:solidFill>
              <a:schemeClr val="accent1"/>
            </a:solidFill>
            <a:ln>
              <a:noFill/>
            </a:ln>
            <a:effectLst/>
          </c:spPr>
          <c:invertIfNegative val="0"/>
          <c:cat>
            <c:strRef>
              <c:f>Dashboard!$J$6:$J$11</c:f>
              <c:strCache>
                <c:ptCount val="5"/>
                <c:pt idx="0">
                  <c:v>Omprakash O</c:v>
                </c:pt>
                <c:pt idx="1">
                  <c:v>Swarnlata Borse</c:v>
                </c:pt>
                <c:pt idx="2">
                  <c:v>Rohit Nishchal</c:v>
                </c:pt>
                <c:pt idx="3">
                  <c:v>Krishana Kumar</c:v>
                </c:pt>
                <c:pt idx="4">
                  <c:v>Manoj Kumar</c:v>
                </c:pt>
              </c:strCache>
            </c:strRef>
          </c:cat>
          <c:val>
            <c:numRef>
              <c:f>Dashboard!$K$6:$K$11</c:f>
              <c:numCache>
                <c:formatCode>0.00%</c:formatCode>
                <c:ptCount val="5"/>
                <c:pt idx="0">
                  <c:v>0.71399999999999997</c:v>
                </c:pt>
                <c:pt idx="1">
                  <c:v>0.622</c:v>
                </c:pt>
                <c:pt idx="2">
                  <c:v>0.58600000000000008</c:v>
                </c:pt>
                <c:pt idx="3">
                  <c:v>0.51</c:v>
                </c:pt>
                <c:pt idx="4">
                  <c:v>0.43799999999999994</c:v>
                </c:pt>
              </c:numCache>
            </c:numRef>
          </c:val>
          <c:extLst>
            <c:ext xmlns:c16="http://schemas.microsoft.com/office/drawing/2014/chart" uri="{C3380CC4-5D6E-409C-BE32-E72D297353CC}">
              <c16:uniqueId val="{00000000-580E-476B-8682-ECD8D95096C2}"/>
            </c:ext>
          </c:extLst>
        </c:ser>
        <c:dLbls>
          <c:showLegendKey val="0"/>
          <c:showVal val="0"/>
          <c:showCatName val="0"/>
          <c:showSerName val="0"/>
          <c:showPercent val="0"/>
          <c:showBubbleSize val="0"/>
        </c:dLbls>
        <c:gapWidth val="182"/>
        <c:axId val="934579920"/>
        <c:axId val="934580400"/>
      </c:barChart>
      <c:catAx>
        <c:axId val="93457992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934580400"/>
        <c:crosses val="autoZero"/>
        <c:auto val="1"/>
        <c:lblAlgn val="ctr"/>
        <c:lblOffset val="100"/>
        <c:noMultiLvlLbl val="0"/>
      </c:catAx>
      <c:valAx>
        <c:axId val="934580400"/>
        <c:scaling>
          <c:orientation val="minMax"/>
        </c:scaling>
        <c:delete val="1"/>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93457992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REF!" lockText="1" noThreeD="1"/>
</file>

<file path=xl/ctrlProps/ctrlProp2.xml><?xml version="1.0" encoding="utf-8"?>
<formControlPr xmlns="http://schemas.microsoft.com/office/spreadsheetml/2009/9/main" objectType="CheckBox" fmlaLink="#REF!" lockText="1" noThreeD="1"/>
</file>

<file path=xl/ctrlProps/ctrlProp3.xml><?xml version="1.0" encoding="utf-8"?>
<formControlPr xmlns="http://schemas.microsoft.com/office/spreadsheetml/2009/9/main" objectType="CheckBox" checked="Checked" fmlaLink="#REF!" lockText="1" noThreeD="1"/>
</file>

<file path=xl/ctrlProps/ctrlProp4.xml><?xml version="1.0" encoding="utf-8"?>
<formControlPr xmlns="http://schemas.microsoft.com/office/spreadsheetml/2009/9/main" objectType="CheckBox" fmlaLink="#REF!"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0</xdr:colOff>
      <xdr:row>2</xdr:row>
      <xdr:rowOff>137160</xdr:rowOff>
    </xdr:to>
    <mc:AlternateContent xmlns:mc="http://schemas.openxmlformats.org/markup-compatibility/2006" xmlns:a14="http://schemas.microsoft.com/office/drawing/2010/main">
      <mc:Choice Requires="a14">
        <xdr:graphicFrame macro="">
          <xdr:nvGraphicFramePr>
            <xdr:cNvPr id="2" name="Region 2">
              <a:extLst>
                <a:ext uri="{FF2B5EF4-FFF2-40B4-BE49-F238E27FC236}">
                  <a16:creationId xmlns:a16="http://schemas.microsoft.com/office/drawing/2014/main" id="{B833AF40-5289-4F01-BCA8-F61986B1995A}"/>
                </a:ext>
              </a:extLst>
            </xdr:cNvPr>
            <xdr:cNvGraphicFramePr/>
          </xdr:nvGraphicFramePr>
          <xdr:xfrm>
            <a:off x="0" y="0"/>
            <a:ext cx="0" cy="0"/>
          </xdr:xfrm>
          <a:graphic>
            <a:graphicData uri="http://schemas.microsoft.com/office/drawing/2010/slicer">
              <sle:slicer xmlns:sle="http://schemas.microsoft.com/office/drawing/2010/slicer" name="Region 2"/>
            </a:graphicData>
          </a:graphic>
        </xdr:graphicFrame>
      </mc:Choice>
      <mc:Fallback xmlns="">
        <xdr:sp macro="" textlink="">
          <xdr:nvSpPr>
            <xdr:cNvPr id="0" name=""/>
            <xdr:cNvSpPr>
              <a:spLocks noTextEdit="1"/>
            </xdr:cNvSpPr>
          </xdr:nvSpPr>
          <xdr:spPr>
            <a:xfrm>
              <a:off x="0" y="0"/>
              <a:ext cx="9852660" cy="5029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7620</xdr:colOff>
      <xdr:row>12</xdr:row>
      <xdr:rowOff>0</xdr:rowOff>
    </xdr:from>
    <xdr:to>
      <xdr:col>2</xdr:col>
      <xdr:colOff>0</xdr:colOff>
      <xdr:row>20</xdr:row>
      <xdr:rowOff>45720</xdr:rowOff>
    </xdr:to>
    <xdr:graphicFrame macro="">
      <xdr:nvGraphicFramePr>
        <xdr:cNvPr id="3" name="Chart 2">
          <a:extLst>
            <a:ext uri="{FF2B5EF4-FFF2-40B4-BE49-F238E27FC236}">
              <a16:creationId xmlns:a16="http://schemas.microsoft.com/office/drawing/2014/main" id="{136E9694-0DDB-C9CB-CD2B-152E7EBC84B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7620</xdr:colOff>
      <xdr:row>12</xdr:row>
      <xdr:rowOff>7620</xdr:rowOff>
    </xdr:from>
    <xdr:to>
      <xdr:col>5</xdr:col>
      <xdr:colOff>0</xdr:colOff>
      <xdr:row>20</xdr:row>
      <xdr:rowOff>38100</xdr:rowOff>
    </xdr:to>
    <xdr:graphicFrame macro="">
      <xdr:nvGraphicFramePr>
        <xdr:cNvPr id="4" name="Chart 3">
          <a:extLst>
            <a:ext uri="{FF2B5EF4-FFF2-40B4-BE49-F238E27FC236}">
              <a16:creationId xmlns:a16="http://schemas.microsoft.com/office/drawing/2014/main" id="{F32D992C-9095-4AAE-2328-77098036330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7620</xdr:colOff>
      <xdr:row>12</xdr:row>
      <xdr:rowOff>7620</xdr:rowOff>
    </xdr:from>
    <xdr:to>
      <xdr:col>8</xdr:col>
      <xdr:colOff>7620</xdr:colOff>
      <xdr:row>20</xdr:row>
      <xdr:rowOff>45720</xdr:rowOff>
    </xdr:to>
    <xdr:graphicFrame macro="">
      <xdr:nvGraphicFramePr>
        <xdr:cNvPr id="5" name="Chart 4">
          <a:extLst>
            <a:ext uri="{FF2B5EF4-FFF2-40B4-BE49-F238E27FC236}">
              <a16:creationId xmlns:a16="http://schemas.microsoft.com/office/drawing/2014/main" id="{DF509C1D-C544-48CB-F016-6B0671C487E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605790</xdr:colOff>
      <xdr:row>12</xdr:row>
      <xdr:rowOff>7620</xdr:rowOff>
    </xdr:from>
    <xdr:to>
      <xdr:col>11</xdr:col>
      <xdr:colOff>0</xdr:colOff>
      <xdr:row>20</xdr:row>
      <xdr:rowOff>15240</xdr:rowOff>
    </xdr:to>
    <xdr:graphicFrame macro="">
      <xdr:nvGraphicFramePr>
        <xdr:cNvPr id="6" name="Chart 5">
          <a:extLst>
            <a:ext uri="{FF2B5EF4-FFF2-40B4-BE49-F238E27FC236}">
              <a16:creationId xmlns:a16="http://schemas.microsoft.com/office/drawing/2014/main" id="{C28F46D5-DF1D-D208-0EC2-5201E97A445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381000</xdr:colOff>
          <xdr:row>4</xdr:row>
          <xdr:rowOff>0</xdr:rowOff>
        </xdr:from>
        <xdr:to>
          <xdr:col>1</xdr:col>
          <xdr:colOff>15240</xdr:colOff>
          <xdr:row>5</xdr:row>
          <xdr:rowOff>30480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647700</xdr:colOff>
          <xdr:row>4</xdr:row>
          <xdr:rowOff>0</xdr:rowOff>
        </xdr:from>
        <xdr:to>
          <xdr:col>4</xdr:col>
          <xdr:colOff>60960</xdr:colOff>
          <xdr:row>5</xdr:row>
          <xdr:rowOff>30480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510540</xdr:colOff>
          <xdr:row>4</xdr:row>
          <xdr:rowOff>0</xdr:rowOff>
        </xdr:from>
        <xdr:to>
          <xdr:col>7</xdr:col>
          <xdr:colOff>144780</xdr:colOff>
          <xdr:row>5</xdr:row>
          <xdr:rowOff>30480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746760</xdr:colOff>
          <xdr:row>4</xdr:row>
          <xdr:rowOff>0</xdr:rowOff>
        </xdr:from>
        <xdr:to>
          <xdr:col>10</xdr:col>
          <xdr:colOff>160020</xdr:colOff>
          <xdr:row>5</xdr:row>
          <xdr:rowOff>30480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ount="102">
        <n v="339"/>
        <n v="239"/>
        <n v="379"/>
        <n v="288"/>
        <n v="213"/>
        <n v="265"/>
        <n v="369"/>
        <n v="285"/>
        <n v="189"/>
        <n v="219"/>
        <n v="376"/>
        <n v="332"/>
        <n v="199"/>
        <n v="306"/>
        <n v="291"/>
        <n v="252"/>
        <n v="253"/>
        <n v="367"/>
        <n v="301"/>
        <n v="202"/>
        <n v="183"/>
        <n v="344"/>
        <n v="276"/>
        <n v="357"/>
        <n v="324"/>
        <n v="341"/>
        <n v="353"/>
        <n v="176"/>
        <n v="230"/>
        <n v="223"/>
        <n v="323"/>
        <n v="214"/>
        <n v="335"/>
        <n v="264"/>
        <n v="274"/>
        <n v="232"/>
        <n v="207"/>
        <n v="371"/>
        <n v="206"/>
        <n v="350"/>
        <n v="192"/>
        <n v="233"/>
        <n v="292"/>
        <n v="340"/>
        <n v="270"/>
        <n v="249"/>
        <n v="322"/>
        <n v="260"/>
        <n v="284"/>
        <n v="300"/>
        <n v="217"/>
        <n v="246"/>
        <n v="267"/>
        <n v="385"/>
        <n v="328"/>
        <n v="166"/>
        <n v="342"/>
        <n v="293"/>
        <n v="171"/>
        <n v="229"/>
        <n v="156"/>
        <n v="208"/>
        <n v="143"/>
        <n v="254"/>
        <n v="224"/>
        <n v="287"/>
        <n v="286"/>
        <n v="245"/>
        <n v="281"/>
        <n v="317"/>
        <n v="351"/>
        <n v="209"/>
        <n v="290"/>
        <n v="384"/>
        <n v="349"/>
        <n v="215"/>
        <n v="318"/>
        <n v="205"/>
        <n v="234"/>
        <n v="303"/>
        <n v="268"/>
        <n v="220"/>
        <n v="228"/>
        <n v="374"/>
        <n v="211"/>
        <n v="236"/>
        <n v="355"/>
        <n v="320"/>
        <n v="389"/>
        <n v="311"/>
        <n v="243"/>
        <n v="283"/>
        <n v="280"/>
        <n v="258"/>
        <n v="316"/>
        <n v="327"/>
        <n v="302"/>
        <n v="273"/>
        <n v="307"/>
        <n v="346"/>
        <n v="271"/>
        <n v="382"/>
      </sharedItems>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ount="102">
        <n v="0.67800000000000005"/>
        <n v="0.47799999999999998"/>
        <n v="0.75800000000000001"/>
        <n v="0.57599999999999996"/>
        <n v="0.42599999999999999"/>
        <n v="0.53"/>
        <n v="0.73799999999999999"/>
        <n v="0.56999999999999995"/>
        <n v="0.378"/>
        <n v="0.438"/>
        <n v="0.752"/>
        <n v="0.66400000000000003"/>
        <n v="0.39800000000000002"/>
        <n v="0.61199999999999999"/>
        <n v="0.58199999999999996"/>
        <n v="0.504"/>
        <n v="0.50600000000000001"/>
        <n v="0.73399999999999999"/>
        <n v="0.60199999999999998"/>
        <n v="0.40400000000000003"/>
        <n v="0.36599999999999999"/>
        <n v="0.68799999999999994"/>
        <n v="0.55200000000000005"/>
        <n v="0.71399999999999997"/>
        <n v="0.64800000000000002"/>
        <n v="0.68200000000000005"/>
        <n v="0.70599999999999996"/>
        <n v="0.35199999999999998"/>
        <n v="0.46"/>
        <n v="0.44600000000000001"/>
        <n v="0.64600000000000002"/>
        <n v="0.42799999999999999"/>
        <n v="0.67"/>
        <n v="0.52800000000000002"/>
        <n v="0.54800000000000004"/>
        <n v="0.46400000000000002"/>
        <n v="0.41399999999999998"/>
        <n v="0.74199999999999999"/>
        <n v="0.41199999999999998"/>
        <n v="0.7"/>
        <n v="0.38400000000000001"/>
        <n v="0.46600000000000003"/>
        <n v="0.58399999999999996"/>
        <n v="0.68"/>
        <n v="0.54"/>
        <n v="0.498"/>
        <n v="0.64400000000000002"/>
        <n v="0.52"/>
        <n v="0.56799999999999995"/>
        <n v="0.6"/>
        <n v="0.434"/>
        <n v="0.49199999999999999"/>
        <n v="0.53400000000000003"/>
        <n v="0.77"/>
        <n v="0.65600000000000003"/>
        <n v="0.33200000000000002"/>
        <n v="0.68400000000000005"/>
        <n v="0.58599999999999997"/>
        <n v="0.34200000000000003"/>
        <n v="0.45800000000000002"/>
        <n v="0.312"/>
        <n v="0.41599999999999998"/>
        <n v="0.28599999999999998"/>
        <n v="0.50800000000000001"/>
        <n v="0.44800000000000001"/>
        <n v="0.57399999999999995"/>
        <n v="0.57199999999999995"/>
        <n v="0.49"/>
        <n v="0.56200000000000006"/>
        <n v="0.63400000000000001"/>
        <n v="0.70199999999999996"/>
        <n v="0.41799999999999998"/>
        <n v="0.57999999999999996"/>
        <n v="0.76800000000000002"/>
        <n v="0.69799999999999995"/>
        <n v="0.43"/>
        <n v="0.63600000000000001"/>
        <n v="0.41"/>
        <n v="0.46800000000000003"/>
        <n v="0.60599999999999998"/>
        <n v="0.53600000000000003"/>
        <n v="0.44"/>
        <n v="0.45600000000000002"/>
        <n v="0.748"/>
        <n v="0.42199999999999999"/>
        <n v="0.47199999999999998"/>
        <n v="0.71"/>
        <n v="0.64"/>
        <n v="0.77800000000000002"/>
        <n v="0.622"/>
        <n v="0.48599999999999999"/>
        <n v="0.56599999999999995"/>
        <n v="0.56000000000000005"/>
        <n v="0.51600000000000001"/>
        <n v="0.63200000000000001"/>
        <n v="0.65400000000000003"/>
        <n v="0.60399999999999998"/>
        <n v="0.54600000000000004"/>
        <n v="0.61399999999999999"/>
        <n v="0.69199999999999995"/>
        <n v="0.54200000000000004"/>
        <n v="0.76400000000000001"/>
      </sharedItems>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 xmlns:xlpdsc="http://schemas.microsoft.com/office/spreadsheetml/2026/pivotDataSourceClean" uri="{F4336242-56EE-4DD3-A5F7-E900642BF6E9}">
      <xlpdsc:dataSourceClean>1</xlpdsc:dataSourceClea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x v="0"/>
    <n v="500"/>
    <x v="0"/>
    <n v="0.32199999999999995"/>
  </r>
  <r>
    <s v="Mum-TCL002"/>
    <x v="1"/>
    <x v="1"/>
    <n v="44"/>
    <n v="85"/>
    <n v="47"/>
    <n v="15"/>
    <n v="48"/>
    <x v="1"/>
    <n v="500"/>
    <x v="1"/>
    <n v="0.52200000000000002"/>
  </r>
  <r>
    <s v="Mum-TCL003"/>
    <x v="2"/>
    <x v="2"/>
    <n v="45"/>
    <n v="79"/>
    <n v="88"/>
    <n v="73"/>
    <n v="94"/>
    <x v="2"/>
    <n v="500"/>
    <x v="2"/>
    <n v="0.24199999999999999"/>
  </r>
  <r>
    <s v="Mum-TCL004"/>
    <x v="3"/>
    <x v="3"/>
    <n v="52"/>
    <n v="99"/>
    <n v="13"/>
    <n v="95"/>
    <n v="29"/>
    <x v="3"/>
    <n v="500"/>
    <x v="3"/>
    <n v="0.42400000000000004"/>
  </r>
  <r>
    <s v="Mum-TCL005"/>
    <x v="4"/>
    <x v="4"/>
    <n v="35"/>
    <n v="54"/>
    <n v="49"/>
    <n v="26"/>
    <n v="49"/>
    <x v="4"/>
    <n v="500"/>
    <x v="4"/>
    <n v="0.57400000000000007"/>
  </r>
  <r>
    <s v="Mum-TCL006"/>
    <x v="5"/>
    <x v="5"/>
    <n v="86"/>
    <n v="31"/>
    <n v="23"/>
    <n v="48"/>
    <n v="77"/>
    <x v="5"/>
    <n v="500"/>
    <x v="5"/>
    <n v="0.47"/>
  </r>
  <r>
    <s v="Mum-TCL007"/>
    <x v="6"/>
    <x v="6"/>
    <n v="84"/>
    <n v="28"/>
    <n v="98"/>
    <n v="80"/>
    <n v="79"/>
    <x v="6"/>
    <n v="500"/>
    <x v="6"/>
    <n v="0.26200000000000001"/>
  </r>
  <r>
    <s v="Mum-TCL008"/>
    <x v="7"/>
    <x v="7"/>
    <n v="73"/>
    <n v="97"/>
    <n v="38"/>
    <n v="24"/>
    <n v="53"/>
    <x v="7"/>
    <n v="500"/>
    <x v="7"/>
    <n v="0.43000000000000005"/>
  </r>
  <r>
    <s v="Mum-TCL009"/>
    <x v="8"/>
    <x v="0"/>
    <n v="54"/>
    <n v="26"/>
    <n v="53"/>
    <n v="36"/>
    <n v="20"/>
    <x v="8"/>
    <n v="500"/>
    <x v="8"/>
    <n v="0.622"/>
  </r>
  <r>
    <s v="Mum-TCL010"/>
    <x v="9"/>
    <x v="1"/>
    <n v="52"/>
    <n v="52"/>
    <n v="19"/>
    <n v="53"/>
    <n v="37"/>
    <x v="4"/>
    <n v="500"/>
    <x v="4"/>
    <n v="0.57400000000000007"/>
  </r>
  <r>
    <s v="Mum-TCL011"/>
    <x v="10"/>
    <x v="2"/>
    <n v="63"/>
    <n v="17"/>
    <n v="40"/>
    <n v="48"/>
    <n v="51"/>
    <x v="9"/>
    <n v="500"/>
    <x v="9"/>
    <n v="0.56200000000000006"/>
  </r>
  <r>
    <s v="Mum-TCL012"/>
    <x v="11"/>
    <x v="3"/>
    <n v="79"/>
    <n v="99"/>
    <n v="95"/>
    <n v="12"/>
    <n v="91"/>
    <x v="10"/>
    <n v="500"/>
    <x v="10"/>
    <n v="0.248"/>
  </r>
  <r>
    <s v="Mum-TCL013"/>
    <x v="12"/>
    <x v="4"/>
    <n v="95"/>
    <n v="88"/>
    <n v="11"/>
    <n v="78"/>
    <n v="60"/>
    <x v="11"/>
    <n v="500"/>
    <x v="11"/>
    <n v="0.33599999999999997"/>
  </r>
  <r>
    <s v="Mum-TCL014"/>
    <x v="13"/>
    <x v="5"/>
    <n v="83"/>
    <n v="77"/>
    <n v="66"/>
    <n v="22"/>
    <n v="40"/>
    <x v="3"/>
    <n v="500"/>
    <x v="3"/>
    <n v="0.42400000000000004"/>
  </r>
  <r>
    <s v="Mum-TCL015"/>
    <x v="14"/>
    <x v="6"/>
    <n v="78"/>
    <n v="58"/>
    <n v="34"/>
    <n v="84"/>
    <n v="31"/>
    <x v="7"/>
    <n v="500"/>
    <x v="7"/>
    <n v="0.43000000000000005"/>
  </r>
  <r>
    <s v="Mum-TCL016"/>
    <x v="15"/>
    <x v="7"/>
    <n v="14"/>
    <n v="25"/>
    <n v="45"/>
    <n v="70"/>
    <n v="45"/>
    <x v="12"/>
    <n v="500"/>
    <x v="12"/>
    <n v="0.60199999999999998"/>
  </r>
  <r>
    <s v="Mum-TCL017"/>
    <x v="16"/>
    <x v="0"/>
    <n v="37"/>
    <n v="69"/>
    <n v="96"/>
    <n v="66"/>
    <n v="38"/>
    <x v="13"/>
    <n v="500"/>
    <x v="13"/>
    <n v="0.38800000000000001"/>
  </r>
  <r>
    <s v="Mum-TCL018"/>
    <x v="17"/>
    <x v="1"/>
    <n v="11"/>
    <n v="46"/>
    <n v="91"/>
    <n v="98"/>
    <n v="45"/>
    <x v="14"/>
    <n v="500"/>
    <x v="14"/>
    <n v="0.41800000000000004"/>
  </r>
  <r>
    <s v="Mum-TCL019"/>
    <x v="18"/>
    <x v="2"/>
    <n v="19"/>
    <n v="34"/>
    <n v="64"/>
    <n v="65"/>
    <n v="70"/>
    <x v="15"/>
    <n v="500"/>
    <x v="15"/>
    <n v="0.496"/>
  </r>
  <r>
    <s v="Mum-TCL020"/>
    <x v="19"/>
    <x v="3"/>
    <n v="93"/>
    <n v="84"/>
    <n v="13"/>
    <n v="45"/>
    <n v="18"/>
    <x v="16"/>
    <n v="500"/>
    <x v="16"/>
    <n v="0.49399999999999999"/>
  </r>
  <r>
    <s v="Mum-TCL021"/>
    <x v="20"/>
    <x v="4"/>
    <n v="68"/>
    <n v="73"/>
    <n v="97"/>
    <n v="76"/>
    <n v="53"/>
    <x v="17"/>
    <n v="500"/>
    <x v="17"/>
    <n v="0.26600000000000001"/>
  </r>
  <r>
    <s v="Mum-TCL022"/>
    <x v="21"/>
    <x v="5"/>
    <n v="99"/>
    <n v="17"/>
    <n v="48"/>
    <n v="44"/>
    <n v="93"/>
    <x v="18"/>
    <n v="500"/>
    <x v="18"/>
    <n v="0.39800000000000002"/>
  </r>
  <r>
    <s v="Mum-TCL023"/>
    <x v="22"/>
    <x v="6"/>
    <n v="57"/>
    <n v="28"/>
    <n v="31"/>
    <n v="34"/>
    <n v="52"/>
    <x v="19"/>
    <n v="500"/>
    <x v="19"/>
    <n v="0.59599999999999997"/>
  </r>
  <r>
    <s v="Mum-TCL024"/>
    <x v="23"/>
    <x v="7"/>
    <n v="40"/>
    <n v="22"/>
    <n v="18"/>
    <n v="11"/>
    <n v="92"/>
    <x v="20"/>
    <n v="500"/>
    <x v="20"/>
    <n v="0.63400000000000001"/>
  </r>
  <r>
    <s v="Mum-TCL025"/>
    <x v="24"/>
    <x v="0"/>
    <n v="47"/>
    <n v="99"/>
    <n v="94"/>
    <n v="75"/>
    <n v="29"/>
    <x v="21"/>
    <n v="500"/>
    <x v="21"/>
    <n v="0.31200000000000006"/>
  </r>
  <r>
    <s v="Mum-TCL026"/>
    <x v="25"/>
    <x v="1"/>
    <n v="16"/>
    <n v="71"/>
    <n v="80"/>
    <n v="76"/>
    <n v="33"/>
    <x v="22"/>
    <n v="500"/>
    <x v="22"/>
    <n v="0.44799999999999995"/>
  </r>
  <r>
    <s v="Mum-TCL027"/>
    <x v="26"/>
    <x v="2"/>
    <n v="72"/>
    <n v="87"/>
    <n v="92"/>
    <n v="72"/>
    <n v="34"/>
    <x v="23"/>
    <n v="500"/>
    <x v="23"/>
    <n v="0.28600000000000003"/>
  </r>
  <r>
    <s v="Mum-TCL028"/>
    <x v="27"/>
    <x v="3"/>
    <n v="30"/>
    <n v="38"/>
    <n v="70"/>
    <n v="89"/>
    <n v="97"/>
    <x v="24"/>
    <n v="500"/>
    <x v="24"/>
    <n v="0.35199999999999998"/>
  </r>
  <r>
    <s v="Mum-TCL029"/>
    <x v="28"/>
    <x v="4"/>
    <n v="65"/>
    <n v="90"/>
    <n v="91"/>
    <n v="85"/>
    <n v="10"/>
    <x v="25"/>
    <n v="500"/>
    <x v="25"/>
    <n v="0.31799999999999995"/>
  </r>
  <r>
    <s v="Mum-TCL030"/>
    <x v="29"/>
    <x v="5"/>
    <n v="83"/>
    <n v="46"/>
    <n v="99"/>
    <n v="36"/>
    <n v="89"/>
    <x v="26"/>
    <n v="500"/>
    <x v="26"/>
    <n v="0.29400000000000004"/>
  </r>
  <r>
    <s v="Mum-TCL031"/>
    <x v="30"/>
    <x v="6"/>
    <n v="10"/>
    <n v="66"/>
    <n v="40"/>
    <n v="22"/>
    <n v="38"/>
    <x v="27"/>
    <n v="500"/>
    <x v="27"/>
    <n v="0.64800000000000002"/>
  </r>
  <r>
    <s v="Mum-TCL032"/>
    <x v="31"/>
    <x v="7"/>
    <n v="37"/>
    <n v="30"/>
    <n v="19"/>
    <n v="77"/>
    <n v="67"/>
    <x v="28"/>
    <n v="500"/>
    <x v="28"/>
    <n v="0.54"/>
  </r>
  <r>
    <s v="Mum-TCL033"/>
    <x v="32"/>
    <x v="0"/>
    <n v="83"/>
    <n v="46"/>
    <n v="17"/>
    <n v="94"/>
    <n v="92"/>
    <x v="11"/>
    <n v="500"/>
    <x v="11"/>
    <n v="0.33599999999999997"/>
  </r>
  <r>
    <s v="Mum-TCL034"/>
    <x v="33"/>
    <x v="1"/>
    <n v="84"/>
    <n v="59"/>
    <n v="41"/>
    <n v="17"/>
    <n v="22"/>
    <x v="29"/>
    <n v="500"/>
    <x v="29"/>
    <n v="0.55400000000000005"/>
  </r>
  <r>
    <s v="Mum-TCL035"/>
    <x v="34"/>
    <x v="2"/>
    <n v="82"/>
    <n v="54"/>
    <n v="79"/>
    <n v="61"/>
    <n v="47"/>
    <x v="30"/>
    <n v="500"/>
    <x v="30"/>
    <n v="0.35399999999999998"/>
  </r>
  <r>
    <s v="Mum-TCL036"/>
    <x v="35"/>
    <x v="3"/>
    <n v="47"/>
    <n v="23"/>
    <n v="19"/>
    <n v="64"/>
    <n v="61"/>
    <x v="31"/>
    <n v="500"/>
    <x v="31"/>
    <n v="0.57200000000000006"/>
  </r>
  <r>
    <s v="Mum-TCL037"/>
    <x v="36"/>
    <x v="4"/>
    <n v="91"/>
    <n v="13"/>
    <n v="79"/>
    <n v="85"/>
    <n v="67"/>
    <x v="32"/>
    <n v="500"/>
    <x v="32"/>
    <n v="0.32999999999999996"/>
  </r>
  <r>
    <s v="Mum-TCL038"/>
    <x v="37"/>
    <x v="5"/>
    <n v="66"/>
    <n v="59"/>
    <n v="25"/>
    <n v="55"/>
    <n v="59"/>
    <x v="33"/>
    <n v="500"/>
    <x v="33"/>
    <n v="0.47199999999999998"/>
  </r>
  <r>
    <s v="Mum-TCL039"/>
    <x v="38"/>
    <x v="6"/>
    <n v="70"/>
    <n v="18"/>
    <n v="88"/>
    <n v="46"/>
    <n v="52"/>
    <x v="34"/>
    <n v="500"/>
    <x v="34"/>
    <n v="0.45199999999999996"/>
  </r>
  <r>
    <s v="Mum-TCL040"/>
    <x v="39"/>
    <x v="7"/>
    <n v="37"/>
    <n v="60"/>
    <n v="44"/>
    <n v="61"/>
    <n v="30"/>
    <x v="35"/>
    <n v="500"/>
    <x v="35"/>
    <n v="0.53600000000000003"/>
  </r>
  <r>
    <s v="Mum-TCL041"/>
    <x v="40"/>
    <x v="0"/>
    <n v="16"/>
    <n v="46"/>
    <n v="33"/>
    <n v="54"/>
    <n v="58"/>
    <x v="36"/>
    <n v="500"/>
    <x v="36"/>
    <n v="0.58600000000000008"/>
  </r>
  <r>
    <s v="Mum-TCL042"/>
    <x v="41"/>
    <x v="1"/>
    <n v="47"/>
    <n v="97"/>
    <n v="74"/>
    <n v="97"/>
    <n v="56"/>
    <x v="37"/>
    <n v="500"/>
    <x v="37"/>
    <n v="0.25800000000000001"/>
  </r>
  <r>
    <s v="Mum-TCL043"/>
    <x v="42"/>
    <x v="2"/>
    <n v="86"/>
    <n v="22"/>
    <n v="10"/>
    <n v="60"/>
    <n v="28"/>
    <x v="38"/>
    <n v="500"/>
    <x v="38"/>
    <n v="0.58800000000000008"/>
  </r>
  <r>
    <s v="Mum-TCL044"/>
    <x v="43"/>
    <x v="3"/>
    <n v="74"/>
    <n v="17"/>
    <n v="45"/>
    <n v="64"/>
    <n v="13"/>
    <x v="4"/>
    <n v="500"/>
    <x v="4"/>
    <n v="0.57400000000000007"/>
  </r>
  <r>
    <s v="Mum-TCL045"/>
    <x v="44"/>
    <x v="4"/>
    <n v="80"/>
    <n v="51"/>
    <n v="15"/>
    <n v="97"/>
    <n v="42"/>
    <x v="7"/>
    <n v="500"/>
    <x v="7"/>
    <n v="0.43000000000000005"/>
  </r>
  <r>
    <s v="Mum-TCL046"/>
    <x v="45"/>
    <x v="5"/>
    <n v="49"/>
    <n v="82"/>
    <n v="95"/>
    <n v="46"/>
    <n v="78"/>
    <x v="39"/>
    <n v="500"/>
    <x v="39"/>
    <n v="0.30000000000000004"/>
  </r>
  <r>
    <s v="Mum-TCL047"/>
    <x v="46"/>
    <x v="6"/>
    <n v="17"/>
    <n v="88"/>
    <n v="12"/>
    <n v="54"/>
    <n v="21"/>
    <x v="40"/>
    <n v="500"/>
    <x v="40"/>
    <n v="0.61599999999999999"/>
  </r>
  <r>
    <s v="Mum-TCL048"/>
    <x v="47"/>
    <x v="7"/>
    <n v="74"/>
    <n v="16"/>
    <n v="74"/>
    <n v="36"/>
    <n v="33"/>
    <x v="41"/>
    <n v="500"/>
    <x v="41"/>
    <n v="0.53400000000000003"/>
  </r>
  <r>
    <s v="Mum-TCL049"/>
    <x v="48"/>
    <x v="0"/>
    <n v="73"/>
    <n v="72"/>
    <n v="38"/>
    <n v="19"/>
    <n v="90"/>
    <x v="42"/>
    <n v="500"/>
    <x v="42"/>
    <n v="0.41600000000000004"/>
  </r>
  <r>
    <s v="Mum-TCL050"/>
    <x v="49"/>
    <x v="1"/>
    <n v="17"/>
    <n v="84"/>
    <n v="90"/>
    <n v="77"/>
    <n v="72"/>
    <x v="43"/>
    <n v="500"/>
    <x v="43"/>
    <n v="0.31999999999999995"/>
  </r>
  <r>
    <s v="Mum-TCL051"/>
    <x v="50"/>
    <x v="2"/>
    <n v="52"/>
    <n v="36"/>
    <n v="84"/>
    <n v="41"/>
    <n v="57"/>
    <x v="44"/>
    <n v="500"/>
    <x v="44"/>
    <n v="0.45999999999999996"/>
  </r>
  <r>
    <s v="Mum-TCL052"/>
    <x v="51"/>
    <x v="3"/>
    <n v="65"/>
    <n v="67"/>
    <n v="72"/>
    <n v="22"/>
    <n v="23"/>
    <x v="45"/>
    <n v="500"/>
    <x v="45"/>
    <n v="0.502"/>
  </r>
  <r>
    <s v="Mum-TCL053"/>
    <x v="52"/>
    <x v="4"/>
    <n v="88"/>
    <n v="39"/>
    <n v="25"/>
    <n v="99"/>
    <n v="71"/>
    <x v="46"/>
    <n v="500"/>
    <x v="46"/>
    <n v="0.35599999999999998"/>
  </r>
  <r>
    <s v="Mum-TCL054"/>
    <x v="53"/>
    <x v="5"/>
    <n v="23"/>
    <n v="14"/>
    <n v="15"/>
    <n v="58"/>
    <n v="79"/>
    <x v="8"/>
    <n v="500"/>
    <x v="8"/>
    <n v="0.622"/>
  </r>
  <r>
    <s v="Mum-TCL055"/>
    <x v="54"/>
    <x v="6"/>
    <n v="15"/>
    <n v="67"/>
    <n v="48"/>
    <n v="95"/>
    <n v="35"/>
    <x v="47"/>
    <n v="500"/>
    <x v="47"/>
    <n v="0.48"/>
  </r>
  <r>
    <s v="Mum-TCL056"/>
    <x v="55"/>
    <x v="7"/>
    <n v="18"/>
    <n v="35"/>
    <n v="82"/>
    <n v="31"/>
    <n v="26"/>
    <x v="40"/>
    <n v="500"/>
    <x v="40"/>
    <n v="0.61599999999999999"/>
  </r>
  <r>
    <s v="Mum-TCL057"/>
    <x v="56"/>
    <x v="0"/>
    <n v="57"/>
    <n v="60"/>
    <n v="42"/>
    <n v="81"/>
    <n v="44"/>
    <x v="48"/>
    <n v="500"/>
    <x v="48"/>
    <n v="0.43200000000000005"/>
  </r>
  <r>
    <s v="Mum-TCL058"/>
    <x v="57"/>
    <x v="1"/>
    <n v="34"/>
    <n v="97"/>
    <n v="66"/>
    <n v="45"/>
    <n v="50"/>
    <x v="42"/>
    <n v="500"/>
    <x v="42"/>
    <n v="0.41600000000000004"/>
  </r>
  <r>
    <s v="Mum-TCL059"/>
    <x v="58"/>
    <x v="2"/>
    <n v="83"/>
    <n v="12"/>
    <n v="70"/>
    <n v="83"/>
    <n v="52"/>
    <x v="49"/>
    <n v="500"/>
    <x v="49"/>
    <n v="0.4"/>
  </r>
  <r>
    <s v="Mum-TCL060"/>
    <x v="59"/>
    <x v="3"/>
    <n v="76"/>
    <n v="55"/>
    <n v="56"/>
    <n v="16"/>
    <n v="61"/>
    <x v="33"/>
    <n v="500"/>
    <x v="33"/>
    <n v="0.47199999999999998"/>
  </r>
  <r>
    <s v="Mum-TCL061"/>
    <x v="60"/>
    <x v="4"/>
    <n v="40"/>
    <n v="70"/>
    <n v="19"/>
    <n v="36"/>
    <n v="52"/>
    <x v="50"/>
    <n v="500"/>
    <x v="50"/>
    <n v="0.56600000000000006"/>
  </r>
  <r>
    <s v="Mum-TCL062"/>
    <x v="61"/>
    <x v="5"/>
    <n v="44"/>
    <n v="60"/>
    <n v="71"/>
    <n v="34"/>
    <n v="37"/>
    <x v="51"/>
    <n v="500"/>
    <x v="51"/>
    <n v="0.50800000000000001"/>
  </r>
  <r>
    <s v="Mum-TCL063"/>
    <x v="62"/>
    <x v="6"/>
    <n v="43"/>
    <n v="78"/>
    <n v="15"/>
    <n v="98"/>
    <n v="33"/>
    <x v="52"/>
    <n v="500"/>
    <x v="52"/>
    <n v="0.46599999999999997"/>
  </r>
  <r>
    <s v="Mum-TCL064"/>
    <x v="63"/>
    <x v="7"/>
    <n v="75"/>
    <n v="75"/>
    <n v="89"/>
    <n v="97"/>
    <n v="49"/>
    <x v="53"/>
    <n v="500"/>
    <x v="53"/>
    <n v="0.22999999999999998"/>
  </r>
  <r>
    <s v="Mum-TCL065"/>
    <x v="64"/>
    <x v="0"/>
    <n v="74"/>
    <n v="51"/>
    <n v="97"/>
    <n v="73"/>
    <n v="33"/>
    <x v="54"/>
    <n v="500"/>
    <x v="54"/>
    <n v="0.34399999999999997"/>
  </r>
  <r>
    <s v="Mum-TCL066"/>
    <x v="65"/>
    <x v="1"/>
    <n v="44"/>
    <n v="36"/>
    <n v="11"/>
    <n v="45"/>
    <n v="30"/>
    <x v="55"/>
    <n v="500"/>
    <x v="55"/>
    <n v="0.66799999999999993"/>
  </r>
  <r>
    <s v="Mum-TCL067"/>
    <x v="66"/>
    <x v="2"/>
    <n v="87"/>
    <n v="79"/>
    <n v="46"/>
    <n v="65"/>
    <n v="65"/>
    <x v="56"/>
    <n v="500"/>
    <x v="56"/>
    <n v="0.31599999999999995"/>
  </r>
  <r>
    <s v="Mum-TCL068"/>
    <x v="67"/>
    <x v="3"/>
    <n v="70"/>
    <n v="52"/>
    <n v="80"/>
    <n v="43"/>
    <n v="48"/>
    <x v="57"/>
    <n v="500"/>
    <x v="57"/>
    <n v="0.41400000000000003"/>
  </r>
  <r>
    <s v="Mum-TCL069"/>
    <x v="68"/>
    <x v="4"/>
    <n v="45"/>
    <n v="26"/>
    <n v="27"/>
    <n v="14"/>
    <n v="59"/>
    <x v="58"/>
    <n v="500"/>
    <x v="58"/>
    <n v="0.65799999999999992"/>
  </r>
  <r>
    <s v="Mum-TCL070"/>
    <x v="69"/>
    <x v="5"/>
    <n v="51"/>
    <n v="26"/>
    <n v="58"/>
    <n v="83"/>
    <n v="11"/>
    <x v="59"/>
    <n v="500"/>
    <x v="59"/>
    <n v="0.54200000000000004"/>
  </r>
  <r>
    <s v="Mum-TCL071"/>
    <x v="70"/>
    <x v="6"/>
    <n v="68"/>
    <n v="36"/>
    <n v="15"/>
    <n v="20"/>
    <n v="17"/>
    <x v="60"/>
    <n v="500"/>
    <x v="60"/>
    <n v="0.68799999999999994"/>
  </r>
  <r>
    <s v="Mum-TCL072"/>
    <x v="71"/>
    <x v="7"/>
    <n v="32"/>
    <n v="74"/>
    <n v="18"/>
    <n v="33"/>
    <n v="51"/>
    <x v="61"/>
    <n v="500"/>
    <x v="61"/>
    <n v="0.58400000000000007"/>
  </r>
  <r>
    <s v="Mum-TCL073"/>
    <x v="72"/>
    <x v="0"/>
    <n v="41"/>
    <n v="11"/>
    <n v="46"/>
    <n v="35"/>
    <n v="10"/>
    <x v="62"/>
    <n v="500"/>
    <x v="62"/>
    <n v="0.71399999999999997"/>
  </r>
  <r>
    <s v="Mum-TCL074"/>
    <x v="73"/>
    <x v="1"/>
    <n v="41"/>
    <n v="17"/>
    <n v="82"/>
    <n v="75"/>
    <n v="39"/>
    <x v="63"/>
    <n v="500"/>
    <x v="63"/>
    <n v="0.49199999999999999"/>
  </r>
  <r>
    <s v="Mum-TCL075"/>
    <x v="74"/>
    <x v="2"/>
    <n v="12"/>
    <n v="97"/>
    <n v="45"/>
    <n v="29"/>
    <n v="41"/>
    <x v="64"/>
    <n v="500"/>
    <x v="64"/>
    <n v="0.55200000000000005"/>
  </r>
  <r>
    <s v="Mum-TCL076"/>
    <x v="75"/>
    <x v="3"/>
    <n v="19"/>
    <n v="72"/>
    <n v="87"/>
    <n v="82"/>
    <n v="27"/>
    <x v="65"/>
    <n v="500"/>
    <x v="65"/>
    <n v="0.42600000000000005"/>
  </r>
  <r>
    <s v="Mum-TCL077"/>
    <x v="76"/>
    <x v="4"/>
    <n v="98"/>
    <n v="15"/>
    <n v="72"/>
    <n v="67"/>
    <n v="34"/>
    <x v="66"/>
    <n v="500"/>
    <x v="66"/>
    <n v="0.42800000000000005"/>
  </r>
  <r>
    <s v="Mum-TCL078"/>
    <x v="77"/>
    <x v="5"/>
    <n v="50"/>
    <n v="44"/>
    <n v="46"/>
    <n v="13"/>
    <n v="92"/>
    <x v="67"/>
    <n v="500"/>
    <x v="67"/>
    <n v="0.51"/>
  </r>
  <r>
    <s v="Mum-TCL079"/>
    <x v="78"/>
    <x v="6"/>
    <n v="40"/>
    <n v="82"/>
    <n v="72"/>
    <n v="42"/>
    <n v="45"/>
    <x v="68"/>
    <n v="500"/>
    <x v="68"/>
    <n v="0.43799999999999994"/>
  </r>
  <r>
    <s v="Mum-TCL080"/>
    <x v="79"/>
    <x v="7"/>
    <n v="23"/>
    <n v="83"/>
    <n v="63"/>
    <n v="65"/>
    <n v="83"/>
    <x v="69"/>
    <n v="500"/>
    <x v="69"/>
    <n v="0.36599999999999999"/>
  </r>
  <r>
    <s v="Mum-TCL081"/>
    <x v="80"/>
    <x v="0"/>
    <n v="71"/>
    <n v="94"/>
    <n v="45"/>
    <n v="95"/>
    <n v="46"/>
    <x v="70"/>
    <n v="500"/>
    <x v="70"/>
    <n v="0.29800000000000004"/>
  </r>
  <r>
    <s v="Mum-TCL082"/>
    <x v="81"/>
    <x v="1"/>
    <n v="48"/>
    <n v="49"/>
    <n v="68"/>
    <n v="23"/>
    <n v="21"/>
    <x v="71"/>
    <n v="500"/>
    <x v="71"/>
    <n v="0.58200000000000007"/>
  </r>
  <r>
    <s v="Mum-TCL083"/>
    <x v="82"/>
    <x v="2"/>
    <n v="77"/>
    <n v="83"/>
    <n v="64"/>
    <n v="53"/>
    <n v="13"/>
    <x v="72"/>
    <n v="500"/>
    <x v="72"/>
    <n v="0.42000000000000004"/>
  </r>
  <r>
    <s v="Mum-TCL084"/>
    <x v="83"/>
    <x v="3"/>
    <n v="81"/>
    <n v="63"/>
    <n v="88"/>
    <n v="89"/>
    <n v="63"/>
    <x v="73"/>
    <n v="500"/>
    <x v="73"/>
    <n v="0.23199999999999998"/>
  </r>
  <r>
    <s v="Mum-TCL085"/>
    <x v="84"/>
    <x v="4"/>
    <n v="39"/>
    <n v="87"/>
    <n v="62"/>
    <n v="80"/>
    <n v="81"/>
    <x v="74"/>
    <n v="500"/>
    <x v="74"/>
    <n v="0.30200000000000005"/>
  </r>
  <r>
    <s v="Mum-TCL086"/>
    <x v="85"/>
    <x v="5"/>
    <n v="46"/>
    <n v="19"/>
    <n v="59"/>
    <n v="58"/>
    <n v="33"/>
    <x v="75"/>
    <n v="500"/>
    <x v="75"/>
    <n v="0.57000000000000006"/>
  </r>
  <r>
    <s v="Mum-TCL087"/>
    <x v="86"/>
    <x v="6"/>
    <n v="34"/>
    <n v="15"/>
    <n v="43"/>
    <n v="63"/>
    <n v="54"/>
    <x v="71"/>
    <n v="500"/>
    <x v="71"/>
    <n v="0.58200000000000007"/>
  </r>
  <r>
    <s v="Mum-TCL088"/>
    <x v="87"/>
    <x v="7"/>
    <n v="32"/>
    <n v="79"/>
    <n v="65"/>
    <n v="57"/>
    <n v="73"/>
    <x v="13"/>
    <n v="500"/>
    <x v="13"/>
    <n v="0.38800000000000001"/>
  </r>
  <r>
    <s v="Mum-TCL089"/>
    <x v="88"/>
    <x v="0"/>
    <n v="72"/>
    <n v="82"/>
    <n v="58"/>
    <n v="36"/>
    <n v="33"/>
    <x v="68"/>
    <n v="500"/>
    <x v="68"/>
    <n v="0.43799999999999994"/>
  </r>
  <r>
    <s v="Mum-TCL090"/>
    <x v="89"/>
    <x v="1"/>
    <n v="11"/>
    <n v="69"/>
    <n v="49"/>
    <n v="90"/>
    <n v="99"/>
    <x v="76"/>
    <n v="500"/>
    <x v="76"/>
    <n v="0.36399999999999999"/>
  </r>
  <r>
    <s v="Mum-TCL091"/>
    <x v="90"/>
    <x v="2"/>
    <n v="80"/>
    <n v="73"/>
    <n v="21"/>
    <n v="72"/>
    <n v="54"/>
    <x v="49"/>
    <n v="500"/>
    <x v="49"/>
    <n v="0.4"/>
  </r>
  <r>
    <s v="Mum-TCL092"/>
    <x v="91"/>
    <x v="3"/>
    <n v="93"/>
    <n v="42"/>
    <n v="38"/>
    <n v="98"/>
    <n v="10"/>
    <x v="68"/>
    <n v="500"/>
    <x v="68"/>
    <n v="0.43799999999999994"/>
  </r>
  <r>
    <s v="Mum-TCL093"/>
    <x v="92"/>
    <x v="4"/>
    <n v="18"/>
    <n v="80"/>
    <n v="20"/>
    <n v="32"/>
    <n v="95"/>
    <x v="67"/>
    <n v="500"/>
    <x v="67"/>
    <n v="0.51"/>
  </r>
  <r>
    <s v="Mum-TCL094"/>
    <x v="93"/>
    <x v="5"/>
    <n v="96"/>
    <n v="14"/>
    <n v="20"/>
    <n v="31"/>
    <n v="44"/>
    <x v="77"/>
    <n v="500"/>
    <x v="77"/>
    <n v="0.59000000000000008"/>
  </r>
  <r>
    <s v="Mum-TCL095"/>
    <x v="94"/>
    <x v="6"/>
    <n v="37"/>
    <n v="60"/>
    <n v="50"/>
    <n v="68"/>
    <n v="19"/>
    <x v="78"/>
    <n v="500"/>
    <x v="78"/>
    <n v="0.53200000000000003"/>
  </r>
  <r>
    <s v="Mum-TCL096"/>
    <x v="95"/>
    <x v="7"/>
    <n v="35"/>
    <n v="79"/>
    <n v="17"/>
    <n v="85"/>
    <n v="16"/>
    <x v="35"/>
    <n v="500"/>
    <x v="35"/>
    <n v="0.53600000000000003"/>
  </r>
  <r>
    <s v="Mum-TCL097"/>
    <x v="96"/>
    <x v="0"/>
    <n v="31"/>
    <n v="48"/>
    <n v="56"/>
    <n v="85"/>
    <n v="25"/>
    <x v="67"/>
    <n v="500"/>
    <x v="67"/>
    <n v="0.51"/>
  </r>
  <r>
    <s v="Mum-TCL098"/>
    <x v="97"/>
    <x v="1"/>
    <n v="23"/>
    <n v="83"/>
    <n v="86"/>
    <n v="69"/>
    <n v="25"/>
    <x v="66"/>
    <n v="500"/>
    <x v="66"/>
    <n v="0.42800000000000005"/>
  </r>
  <r>
    <s v="Mum-TCL099"/>
    <x v="98"/>
    <x v="2"/>
    <n v="17"/>
    <n v="97"/>
    <n v="81"/>
    <n v="32"/>
    <n v="76"/>
    <x v="79"/>
    <n v="500"/>
    <x v="79"/>
    <n v="0.39400000000000002"/>
  </r>
  <r>
    <s v="Mum-TCL100"/>
    <x v="99"/>
    <x v="3"/>
    <n v="92"/>
    <n v="45"/>
    <n v="43"/>
    <n v="91"/>
    <n v="47"/>
    <x v="76"/>
    <n v="500"/>
    <x v="76"/>
    <n v="0.36399999999999999"/>
  </r>
  <r>
    <s v="Mum-TCL101"/>
    <x v="100"/>
    <x v="4"/>
    <n v="49"/>
    <n v="77"/>
    <n v="18"/>
    <n v="69"/>
    <n v="55"/>
    <x v="80"/>
    <n v="500"/>
    <x v="80"/>
    <n v="0.46399999999999997"/>
  </r>
  <r>
    <s v="Mum-TCL102"/>
    <x v="101"/>
    <x v="5"/>
    <n v="81"/>
    <n v="88"/>
    <n v="19"/>
    <n v="95"/>
    <n v="39"/>
    <x v="46"/>
    <n v="500"/>
    <x v="46"/>
    <n v="0.35599999999999998"/>
  </r>
  <r>
    <s v="Mum-TCL103"/>
    <x v="102"/>
    <x v="6"/>
    <n v="55"/>
    <n v="14"/>
    <n v="41"/>
    <n v="40"/>
    <n v="70"/>
    <x v="81"/>
    <n v="500"/>
    <x v="81"/>
    <n v="0.56000000000000005"/>
  </r>
  <r>
    <s v="Mum-TCL104"/>
    <x v="103"/>
    <x v="7"/>
    <n v="86"/>
    <n v="13"/>
    <n v="99"/>
    <n v="25"/>
    <n v="83"/>
    <x v="13"/>
    <n v="500"/>
    <x v="13"/>
    <n v="0.38800000000000001"/>
  </r>
  <r>
    <s v="Mum-TCL105"/>
    <x v="104"/>
    <x v="0"/>
    <n v="88"/>
    <n v="96"/>
    <n v="16"/>
    <n v="65"/>
    <n v="86"/>
    <x v="70"/>
    <n v="500"/>
    <x v="70"/>
    <n v="0.29800000000000004"/>
  </r>
  <r>
    <s v="Mum-TCL106"/>
    <x v="105"/>
    <x v="1"/>
    <n v="61"/>
    <n v="73"/>
    <n v="34"/>
    <n v="30"/>
    <n v="30"/>
    <x v="82"/>
    <n v="500"/>
    <x v="82"/>
    <n v="0.54400000000000004"/>
  </r>
  <r>
    <s v="Mum-TCL107"/>
    <x v="106"/>
    <x v="2"/>
    <n v="61"/>
    <n v="91"/>
    <n v="53"/>
    <n v="78"/>
    <n v="91"/>
    <x v="83"/>
    <n v="500"/>
    <x v="83"/>
    <n v="0.252"/>
  </r>
  <r>
    <s v="Mum-TCL108"/>
    <x v="107"/>
    <x v="3"/>
    <n v="75"/>
    <n v="53"/>
    <n v="27"/>
    <n v="26"/>
    <n v="30"/>
    <x v="84"/>
    <n v="500"/>
    <x v="84"/>
    <n v="0.57800000000000007"/>
  </r>
  <r>
    <s v="Mum-TCL109"/>
    <x v="108"/>
    <x v="4"/>
    <n v="24"/>
    <n v="31"/>
    <n v="41"/>
    <n v="57"/>
    <n v="83"/>
    <x v="85"/>
    <n v="500"/>
    <x v="85"/>
    <n v="0.52800000000000002"/>
  </r>
  <r>
    <s v="Mum-TCL110"/>
    <x v="109"/>
    <x v="5"/>
    <n v="83"/>
    <n v="62"/>
    <n v="32"/>
    <n v="83"/>
    <n v="95"/>
    <x v="86"/>
    <n v="500"/>
    <x v="86"/>
    <n v="0.29000000000000004"/>
  </r>
  <r>
    <s v="Mum-TCL111"/>
    <x v="110"/>
    <x v="6"/>
    <n v="39"/>
    <n v="52"/>
    <n v="72"/>
    <n v="99"/>
    <n v="58"/>
    <x v="87"/>
    <n v="500"/>
    <x v="87"/>
    <n v="0.36"/>
  </r>
  <r>
    <s v="Mum-TCL112"/>
    <x v="111"/>
    <x v="7"/>
    <n v="93"/>
    <n v="74"/>
    <n v="85"/>
    <n v="47"/>
    <n v="90"/>
    <x v="88"/>
    <n v="500"/>
    <x v="88"/>
    <n v="0.22199999999999998"/>
  </r>
  <r>
    <s v="Mum-TCL113"/>
    <x v="112"/>
    <x v="0"/>
    <n v="43"/>
    <n v="88"/>
    <n v="35"/>
    <n v="54"/>
    <n v="91"/>
    <x v="89"/>
    <n v="500"/>
    <x v="89"/>
    <n v="0.378"/>
  </r>
  <r>
    <s v="Mum-TCL114"/>
    <x v="113"/>
    <x v="1"/>
    <n v="87"/>
    <n v="15"/>
    <n v="11"/>
    <n v="42"/>
    <n v="88"/>
    <x v="90"/>
    <n v="500"/>
    <x v="90"/>
    <n v="0.51400000000000001"/>
  </r>
  <r>
    <s v="Mum-TCL115"/>
    <x v="114"/>
    <x v="2"/>
    <n v="45"/>
    <n v="45"/>
    <n v="61"/>
    <n v="11"/>
    <n v="52"/>
    <x v="31"/>
    <n v="500"/>
    <x v="31"/>
    <n v="0.57200000000000006"/>
  </r>
  <r>
    <s v="Mum-TCL116"/>
    <x v="115"/>
    <x v="3"/>
    <n v="71"/>
    <n v="42"/>
    <n v="17"/>
    <n v="57"/>
    <n v="96"/>
    <x v="91"/>
    <n v="500"/>
    <x v="91"/>
    <n v="0.43400000000000005"/>
  </r>
  <r>
    <s v="Mum-TCL117"/>
    <x v="116"/>
    <x v="4"/>
    <n v="26"/>
    <n v="65"/>
    <n v="17"/>
    <n v="28"/>
    <n v="30"/>
    <x v="55"/>
    <n v="500"/>
    <x v="55"/>
    <n v="0.66799999999999993"/>
  </r>
  <r>
    <s v="Mum-TCL118"/>
    <x v="117"/>
    <x v="5"/>
    <n v="26"/>
    <n v="61"/>
    <n v="89"/>
    <n v="71"/>
    <n v="33"/>
    <x v="92"/>
    <n v="500"/>
    <x v="92"/>
    <n v="0.43999999999999995"/>
  </r>
  <r>
    <s v="Mum-TCL119"/>
    <x v="118"/>
    <x v="6"/>
    <n v="93"/>
    <n v="11"/>
    <n v="93"/>
    <n v="31"/>
    <n v="30"/>
    <x v="93"/>
    <n v="500"/>
    <x v="93"/>
    <n v="0.48399999999999999"/>
  </r>
  <r>
    <s v="Mum-TCL120"/>
    <x v="119"/>
    <x v="7"/>
    <n v="65"/>
    <n v="92"/>
    <n v="48"/>
    <n v="96"/>
    <n v="15"/>
    <x v="94"/>
    <n v="500"/>
    <x v="94"/>
    <n v="0.36799999999999999"/>
  </r>
  <r>
    <s v="Mum-TCL121"/>
    <x v="120"/>
    <x v="0"/>
    <n v="91"/>
    <n v="38"/>
    <n v="33"/>
    <n v="55"/>
    <n v="83"/>
    <x v="49"/>
    <n v="500"/>
    <x v="49"/>
    <n v="0.4"/>
  </r>
  <r>
    <s v="Mum-TCL122"/>
    <x v="121"/>
    <x v="1"/>
    <n v="20"/>
    <n v="94"/>
    <n v="45"/>
    <n v="70"/>
    <n v="98"/>
    <x v="95"/>
    <n v="500"/>
    <x v="95"/>
    <n v="0.34599999999999997"/>
  </r>
  <r>
    <s v="Mum-TCL123"/>
    <x v="122"/>
    <x v="2"/>
    <n v="25"/>
    <n v="83"/>
    <n v="26"/>
    <n v="68"/>
    <n v="22"/>
    <x v="64"/>
    <n v="500"/>
    <x v="64"/>
    <n v="0.55200000000000005"/>
  </r>
  <r>
    <s v="Mum-TCL124"/>
    <x v="123"/>
    <x v="3"/>
    <n v="26"/>
    <n v="16"/>
    <n v="61"/>
    <n v="92"/>
    <n v="50"/>
    <x v="67"/>
    <n v="500"/>
    <x v="67"/>
    <n v="0.51"/>
  </r>
  <r>
    <s v="Mum-TCL125"/>
    <x v="124"/>
    <x v="4"/>
    <n v="31"/>
    <n v="55"/>
    <n v="75"/>
    <n v="66"/>
    <n v="75"/>
    <x v="96"/>
    <n v="500"/>
    <x v="96"/>
    <n v="0.39600000000000002"/>
  </r>
  <r>
    <s v="Mum-TCL126"/>
    <x v="125"/>
    <x v="5"/>
    <n v="41"/>
    <n v="66"/>
    <n v="48"/>
    <n v="70"/>
    <n v="48"/>
    <x v="97"/>
    <n v="500"/>
    <x v="97"/>
    <n v="0.45399999999999996"/>
  </r>
  <r>
    <s v="Mum-TCL127"/>
    <x v="126"/>
    <x v="6"/>
    <n v="60"/>
    <n v="92"/>
    <n v="32"/>
    <n v="60"/>
    <n v="78"/>
    <x v="46"/>
    <n v="500"/>
    <x v="46"/>
    <n v="0.35599999999999998"/>
  </r>
  <r>
    <s v="Mum-TCL128"/>
    <x v="127"/>
    <x v="7"/>
    <n v="42"/>
    <n v="24"/>
    <n v="19"/>
    <n v="82"/>
    <n v="16"/>
    <x v="20"/>
    <n v="500"/>
    <x v="20"/>
    <n v="0.63400000000000001"/>
  </r>
  <r>
    <s v="Mum-TCL129"/>
    <x v="128"/>
    <x v="0"/>
    <n v="26"/>
    <n v="85"/>
    <n v="75"/>
    <n v="83"/>
    <n v="37"/>
    <x v="13"/>
    <n v="500"/>
    <x v="13"/>
    <n v="0.38800000000000001"/>
  </r>
  <r>
    <s v="Mum-TCL130"/>
    <x v="129"/>
    <x v="1"/>
    <n v="81"/>
    <n v="68"/>
    <n v="74"/>
    <n v="72"/>
    <n v="12"/>
    <x v="98"/>
    <n v="500"/>
    <x v="98"/>
    <n v="0.38600000000000001"/>
  </r>
  <r>
    <s v="Mum-TCL131"/>
    <x v="130"/>
    <x v="2"/>
    <n v="90"/>
    <n v="79"/>
    <n v="99"/>
    <n v="60"/>
    <n v="27"/>
    <x v="86"/>
    <n v="500"/>
    <x v="86"/>
    <n v="0.29000000000000004"/>
  </r>
  <r>
    <s v="Mum-TCL132"/>
    <x v="131"/>
    <x v="3"/>
    <n v="71"/>
    <n v="21"/>
    <n v="70"/>
    <n v="53"/>
    <n v="49"/>
    <x v="33"/>
    <n v="500"/>
    <x v="33"/>
    <n v="0.47199999999999998"/>
  </r>
  <r>
    <s v="Mum-TCL133"/>
    <x v="132"/>
    <x v="4"/>
    <n v="86"/>
    <n v="60"/>
    <n v="59"/>
    <n v="51"/>
    <n v="90"/>
    <x v="99"/>
    <n v="500"/>
    <x v="99"/>
    <n v="0.30800000000000005"/>
  </r>
  <r>
    <s v="Mum-TCL134"/>
    <x v="133"/>
    <x v="5"/>
    <n v="68"/>
    <n v="61"/>
    <n v="12"/>
    <n v="41"/>
    <n v="35"/>
    <x v="50"/>
    <n v="500"/>
    <x v="50"/>
    <n v="0.56600000000000006"/>
  </r>
  <r>
    <s v="Mum-TCL135"/>
    <x v="134"/>
    <x v="6"/>
    <n v="65"/>
    <n v="34"/>
    <n v="15"/>
    <n v="86"/>
    <n v="71"/>
    <x v="100"/>
    <n v="500"/>
    <x v="100"/>
    <n v="0.45799999999999996"/>
  </r>
  <r>
    <s v="Mum-TCL136"/>
    <x v="135"/>
    <x v="7"/>
    <n v="91"/>
    <n v="21"/>
    <n v="59"/>
    <n v="85"/>
    <n v="60"/>
    <x v="94"/>
    <n v="500"/>
    <x v="94"/>
    <n v="0.36799999999999999"/>
  </r>
  <r>
    <s v="Mum-TCL137"/>
    <x v="136"/>
    <x v="0"/>
    <n v="73"/>
    <n v="67"/>
    <n v="49"/>
    <n v="56"/>
    <n v="43"/>
    <x v="3"/>
    <n v="500"/>
    <x v="3"/>
    <n v="0.42400000000000004"/>
  </r>
  <r>
    <s v="Mum-TCL138"/>
    <x v="137"/>
    <x v="1"/>
    <n v="72"/>
    <n v="49"/>
    <n v="93"/>
    <n v="95"/>
    <n v="73"/>
    <x v="101"/>
    <n v="500"/>
    <x v="101"/>
    <n v="0.23599999999999999"/>
  </r>
  <r>
    <s v="Mum-TCL139"/>
    <x v="138"/>
    <x v="2"/>
    <n v="85"/>
    <n v="43"/>
    <n v="74"/>
    <n v="26"/>
    <n v="88"/>
    <x v="94"/>
    <n v="500"/>
    <x v="94"/>
    <n v="0.36799999999999999"/>
  </r>
  <r>
    <s v="Mum-TCL140"/>
    <x v="139"/>
    <x v="3"/>
    <n v="77"/>
    <n v="81"/>
    <n v="10"/>
    <n v="65"/>
    <n v="83"/>
    <x v="94"/>
    <n v="500"/>
    <x v="94"/>
    <n v="0.36799999999999999"/>
  </r>
  <r>
    <s v="Mum-TCL141"/>
    <x v="140"/>
    <x v="4"/>
    <n v="46"/>
    <n v="52"/>
    <n v="57"/>
    <n v="67"/>
    <n v="64"/>
    <x v="66"/>
    <n v="500"/>
    <x v="66"/>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4759950-2DC0-4CE3-9664-774413D71CB7}" name="PivotTable6" cacheId="0" applyNumberFormats="0" applyBorderFormats="0" applyFontFormats="0" applyPatternFormats="0" applyAlignmentFormats="0" applyWidthHeightFormats="1" dataCaption="Values" updatedVersion="8" minRefreshableVersion="3" itemPrintTitles="1" createdVersion="6" indent="0" outline="1" outlineData="1" multipleFieldFilters="0" chartFormat="6" rowHeaderCaption="Sales Executive">
  <location ref="A5:B11" firstHeaderRow="1" firstDataRow="1" firstDataCol="1"/>
  <pivotFields count="12">
    <pivotField showAll="0"/>
    <pivotField axis="axisRow" showAll="0" measureFilter="1" sortType="de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38"/>
    </i>
    <i>
      <x v="62"/>
    </i>
    <i>
      <x v="119"/>
    </i>
    <i>
      <x v="82"/>
    </i>
    <i>
      <x v="111"/>
    </i>
    <i t="grand">
      <x/>
    </i>
  </rowItems>
  <colItems count="1">
    <i/>
  </colItems>
  <dataFields count="1">
    <dataField name="Total Sales " fld="8" baseField="1" baseItem="137"/>
  </dataFields>
  <chartFormats count="1">
    <chartFormat chart="0" format="0" series="1">
      <pivotArea type="data" outline="0" fieldPosition="0">
        <references count="1">
          <reference field="4294967294" count="1" selected="0">
            <x v="0"/>
          </reference>
        </references>
      </pivotArea>
    </chartFormat>
  </chartFormats>
  <pivotTableStyleInfo name="PivotStyleMedium21"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18C65CB-F72F-4E72-A5D2-09742EEA32C3}" name="PivotTable5" cacheId="0" applyNumberFormats="0" applyBorderFormats="0" applyFontFormats="0" applyPatternFormats="0" applyAlignmentFormats="0" applyWidthHeightFormats="1" dataCaption="Values" updatedVersion="8" minRefreshableVersion="3" itemPrintTitles="1" createdVersion="6" indent="0" outline="1" outlineData="1" multipleFieldFilters="0" chartFormat="3" rowHeaderCaption="Sales Executive">
  <location ref="D5:E11" firstHeaderRow="1" firstDataRow="1" firstDataCol="1"/>
  <pivotFields count="12">
    <pivotField showAll="0"/>
    <pivotField axis="axisRow" showAll="0" measureFilter="1" sortType="a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70"/>
    </i>
    <i>
      <x v="135"/>
    </i>
    <i>
      <x v="103"/>
    </i>
    <i>
      <x v="46"/>
    </i>
    <i>
      <x v="54"/>
    </i>
    <i t="grand">
      <x/>
    </i>
  </rowItems>
  <colItems count="1">
    <i/>
  </colItems>
  <dataFields count="1">
    <dataField name="Total Sales " fld="8" baseField="1" baseItem="72"/>
  </dataFields>
  <chartFormats count="19">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01"/>
          </reference>
        </references>
      </pivotArea>
    </chartFormat>
    <chartFormat chart="0" format="2">
      <pivotArea type="data" outline="0" fieldPosition="0">
        <references count="2">
          <reference field="4294967294" count="1" selected="0">
            <x v="0"/>
          </reference>
          <reference field="1" count="1" selected="0">
            <x v="28"/>
          </reference>
        </references>
      </pivotArea>
    </chartFormat>
    <chartFormat chart="0" format="3">
      <pivotArea type="data" outline="0" fieldPosition="0">
        <references count="2">
          <reference field="4294967294" count="1" selected="0">
            <x v="0"/>
          </reference>
          <reference field="1" count="1" selected="0">
            <x v="133"/>
          </reference>
        </references>
      </pivotArea>
    </chartFormat>
    <chartFormat chart="0" format="4">
      <pivotArea type="data" outline="0" fieldPosition="0">
        <references count="2">
          <reference field="4294967294" count="1" selected="0">
            <x v="0"/>
          </reference>
          <reference field="1" count="1" selected="0">
            <x v="68"/>
          </reference>
        </references>
      </pivotArea>
    </chartFormat>
    <chartFormat chart="0" format="5">
      <pivotArea type="data" outline="0" fieldPosition="0">
        <references count="2">
          <reference field="4294967294" count="1" selected="0">
            <x v="0"/>
          </reference>
          <reference field="1" count="1" selected="0">
            <x v="20"/>
          </reference>
        </references>
      </pivotArea>
    </chartFormat>
    <chartFormat chart="0" format="6">
      <pivotArea type="data" outline="0" fieldPosition="0">
        <references count="2">
          <reference field="4294967294" count="1" selected="0">
            <x v="0"/>
          </reference>
          <reference field="1" count="1" selected="0">
            <x v="70"/>
          </reference>
        </references>
      </pivotArea>
    </chartFormat>
    <chartFormat chart="0" format="7">
      <pivotArea type="data" outline="0" fieldPosition="0">
        <references count="2">
          <reference field="4294967294" count="1" selected="0">
            <x v="0"/>
          </reference>
          <reference field="1" count="1" selected="0">
            <x v="72"/>
          </reference>
        </references>
      </pivotArea>
    </chartFormat>
    <chartFormat chart="0" format="8">
      <pivotArea type="data" outline="0" fieldPosition="0">
        <references count="2">
          <reference field="4294967294" count="1" selected="0">
            <x v="0"/>
          </reference>
          <reference field="1" count="1" selected="0">
            <x v="77"/>
          </reference>
        </references>
      </pivotArea>
    </chartFormat>
    <chartFormat chart="0" format="9">
      <pivotArea type="data" outline="0" fieldPosition="0">
        <references count="2">
          <reference field="4294967294" count="1" selected="0">
            <x v="0"/>
          </reference>
          <reference field="1" count="1" selected="0">
            <x v="26"/>
          </reference>
        </references>
      </pivotArea>
    </chartFormat>
    <chartFormat chart="0" format="10">
      <pivotArea type="data" outline="0" fieldPosition="0">
        <references count="2">
          <reference field="4294967294" count="1" selected="0">
            <x v="0"/>
          </reference>
          <reference field="1" count="1" selected="0">
            <x v="74"/>
          </reference>
        </references>
      </pivotArea>
    </chartFormat>
    <chartFormat chart="0" format="11">
      <pivotArea type="data" outline="0" fieldPosition="0">
        <references count="2">
          <reference field="4294967294" count="1" selected="0">
            <x v="0"/>
          </reference>
          <reference field="1" count="1" selected="0">
            <x v="61"/>
          </reference>
        </references>
      </pivotArea>
    </chartFormat>
    <chartFormat chart="0" format="12">
      <pivotArea type="data" outline="0" fieldPosition="0">
        <references count="2">
          <reference field="4294967294" count="1" selected="0">
            <x v="0"/>
          </reference>
          <reference field="1" count="1" selected="0">
            <x v="134"/>
          </reference>
        </references>
      </pivotArea>
    </chartFormat>
    <chartFormat chart="0" format="13">
      <pivotArea type="data" outline="0" fieldPosition="0">
        <references count="2">
          <reference field="4294967294" count="1" selected="0">
            <x v="0"/>
          </reference>
          <reference field="1" count="1" selected="0">
            <x v="110"/>
          </reference>
        </references>
      </pivotArea>
    </chartFormat>
    <chartFormat chart="0" format="14">
      <pivotArea type="data" outline="0" fieldPosition="0">
        <references count="2">
          <reference field="4294967294" count="1" selected="0">
            <x v="0"/>
          </reference>
          <reference field="1" count="1" selected="0">
            <x v="37"/>
          </reference>
        </references>
      </pivotArea>
    </chartFormat>
    <chartFormat chart="0" format="15">
      <pivotArea type="data" outline="0" fieldPosition="0">
        <references count="2">
          <reference field="4294967294" count="1" selected="0">
            <x v="0"/>
          </reference>
          <reference field="1" count="1" selected="0">
            <x v="135"/>
          </reference>
        </references>
      </pivotArea>
    </chartFormat>
    <chartFormat chart="0" format="16">
      <pivotArea type="data" outline="0" fieldPosition="0">
        <references count="2">
          <reference field="4294967294" count="1" selected="0">
            <x v="0"/>
          </reference>
          <reference field="1" count="1" selected="0">
            <x v="103"/>
          </reference>
        </references>
      </pivotArea>
    </chartFormat>
    <chartFormat chart="0" format="17">
      <pivotArea type="data" outline="0" fieldPosition="0">
        <references count="2">
          <reference field="4294967294" count="1" selected="0">
            <x v="0"/>
          </reference>
          <reference field="1" count="1" selected="0">
            <x v="46"/>
          </reference>
        </references>
      </pivotArea>
    </chartFormat>
    <chartFormat chart="0" format="18">
      <pivotArea type="data" outline="0" fieldPosition="0">
        <references count="2">
          <reference field="4294967294" count="1" selected="0">
            <x v="0"/>
          </reference>
          <reference field="1" count="1" selected="0">
            <x v="54"/>
          </reference>
        </references>
      </pivotArea>
    </chartFormat>
  </chartFormats>
  <pivotTableStyleInfo name="PivotStyleDark13"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EE91C3F-3C16-4FD0-B256-1C5E1CBE6EFF}" name="PivotTable8" cacheId="0" applyNumberFormats="0" applyBorderFormats="0" applyFontFormats="0" applyPatternFormats="0" applyAlignmentFormats="0" applyWidthHeightFormats="1" dataCaption="Values" updatedVersion="8" minRefreshableVersion="3" itemPrintTitles="1" createdVersion="6" indent="0" outline="1" outlineData="1" multipleFieldFilters="0" chartFormat="3" rowHeaderCaption="Sales Executive">
  <location ref="G5:H11" firstHeaderRow="1" firstDataRow="1" firstDataCol="1"/>
  <pivotFields count="12">
    <pivotField showAll="0"/>
    <pivotField axis="axisRow" showAll="0" measureFilter="1" sortType="de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showAll="0"/>
    <pivotField dataField="1" numFmtId="10"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numFmtId="10" showAll="0"/>
  </pivotFields>
  <rowFields count="1">
    <field x="1"/>
  </rowFields>
  <rowItems count="6">
    <i>
      <x v="38"/>
    </i>
    <i>
      <x v="62"/>
    </i>
    <i>
      <x v="119"/>
    </i>
    <i>
      <x v="82"/>
    </i>
    <i>
      <x v="111"/>
    </i>
    <i t="grand">
      <x/>
    </i>
  </rowItems>
  <colItems count="1">
    <i/>
  </colItems>
  <dataFields count="1">
    <dataField name="Target Hit" fld="10" baseField="1" baseItem="31"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A8F2AC4-0A19-4BE0-962A-B06663CF2D62}" name="PivotTable7" cacheId="0" applyNumberFormats="0" applyBorderFormats="0" applyFontFormats="0" applyPatternFormats="0" applyAlignmentFormats="0" applyWidthHeightFormats="1" dataCaption="Values" updatedVersion="8" minRefreshableVersion="3" itemPrintTitles="1" createdVersion="6" indent="0" outline="1" outlineData="1" multipleFieldFilters="0" chartFormat="2" rowHeaderCaption="Sales Executive">
  <location ref="J5:K11" firstHeaderRow="1" firstDataRow="1" firstDataCol="1"/>
  <pivotFields count="12">
    <pivotField showAll="0"/>
    <pivotField axis="axisRow" showAll="0" measureFilter="1" sortType="de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showAll="0"/>
    <pivotField numFmtId="10"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dataField="1" numFmtId="10" showAll="0"/>
  </pivotFields>
  <rowFields count="1">
    <field x="1"/>
  </rowFields>
  <rowItems count="6">
    <i>
      <x v="70"/>
    </i>
    <i>
      <x v="135"/>
    </i>
    <i>
      <x v="103"/>
    </i>
    <i>
      <x v="46"/>
    </i>
    <i>
      <x v="54"/>
    </i>
    <i t="grand">
      <x/>
    </i>
  </rowItems>
  <colItems count="1">
    <i/>
  </colItems>
  <dataFields count="1">
    <dataField name="Away From Target"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0"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1" xr10:uid="{5E126B97-459A-4493-A352-35E0FA5B0515}" sourceName="Region">
  <pivotTables>
    <pivotTable tabId="4" name="PivotTable5"/>
    <pivotTable tabId="4" name="PivotTable6"/>
    <pivotTable tabId="4" name="PivotTable7"/>
    <pivotTable tabId="4" name="PivotTable8"/>
  </pivotTables>
  <data>
    <tabular pivotCacheId="93566871">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2" xr10:uid="{F6DCC6CB-95C8-481B-BFAE-E757B66C9F5E}" cache="Slicer_Region11" caption="Region" columnCount="8" showCaption="0" style="Slicer Style 2" rowHeight="324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7B261-663A-4E6C-9636-7CDAF680CFB9}">
  <sheetPr codeName="Sheet3"/>
  <dimension ref="A1:K22"/>
  <sheetViews>
    <sheetView workbookViewId="0">
      <selection activeCell="B33" sqref="B33"/>
    </sheetView>
  </sheetViews>
  <sheetFormatPr defaultRowHeight="14.4" x14ac:dyDescent="0.3"/>
  <cols>
    <col min="1" max="1" width="16.109375" bestFit="1" customWidth="1"/>
    <col min="2" max="2" width="10.33203125" bestFit="1" customWidth="1"/>
    <col min="4" max="4" width="19.33203125" bestFit="1" customWidth="1"/>
    <col min="5" max="5" width="10.33203125" bestFit="1" customWidth="1"/>
    <col min="7" max="7" width="16.109375" bestFit="1" customWidth="1"/>
    <col min="8" max="8" width="9.109375" bestFit="1" customWidth="1"/>
    <col min="10" max="10" width="19.33203125" bestFit="1" customWidth="1"/>
    <col min="11" max="11" width="16.33203125" bestFit="1" customWidth="1"/>
  </cols>
  <sheetData>
    <row r="1" spans="1:11" x14ac:dyDescent="0.3">
      <c r="A1" s="12"/>
      <c r="B1" s="12"/>
      <c r="C1" s="12"/>
      <c r="D1" s="12"/>
      <c r="E1" s="12"/>
      <c r="F1" s="12"/>
      <c r="G1" s="12"/>
      <c r="H1" s="12"/>
      <c r="I1" s="12"/>
      <c r="J1" s="12"/>
      <c r="K1" s="12"/>
    </row>
    <row r="2" spans="1:11" x14ac:dyDescent="0.3">
      <c r="A2" s="12"/>
      <c r="B2" s="12"/>
      <c r="C2" s="12"/>
      <c r="D2" s="12"/>
      <c r="E2" s="12"/>
      <c r="F2" s="12"/>
      <c r="G2" s="12"/>
      <c r="H2" s="12"/>
      <c r="I2" s="12"/>
      <c r="J2" s="12"/>
      <c r="K2" s="12"/>
    </row>
    <row r="3" spans="1:11" x14ac:dyDescent="0.3">
      <c r="A3" s="12"/>
      <c r="B3" s="12"/>
      <c r="C3" s="12"/>
      <c r="D3" s="12"/>
      <c r="E3" s="12"/>
      <c r="F3" s="12"/>
      <c r="G3" s="12"/>
      <c r="H3" s="12"/>
      <c r="I3" s="12"/>
      <c r="J3" s="12"/>
      <c r="K3" s="12"/>
    </row>
    <row r="4" spans="1:11" x14ac:dyDescent="0.3">
      <c r="A4" s="12"/>
      <c r="B4" s="12"/>
      <c r="C4" s="12"/>
      <c r="D4" s="12"/>
      <c r="E4" s="12"/>
      <c r="F4" s="12"/>
      <c r="G4" s="12"/>
      <c r="H4" s="12"/>
      <c r="I4" s="12"/>
      <c r="J4" s="12"/>
      <c r="K4" s="12"/>
    </row>
    <row r="5" spans="1:11" x14ac:dyDescent="0.3">
      <c r="A5" s="9" t="s">
        <v>1</v>
      </c>
      <c r="B5" t="s">
        <v>302</v>
      </c>
      <c r="C5" s="12"/>
      <c r="D5" s="9" t="s">
        <v>1</v>
      </c>
      <c r="E5" t="s">
        <v>302</v>
      </c>
      <c r="F5" s="12"/>
      <c r="G5" s="9" t="s">
        <v>1</v>
      </c>
      <c r="H5" t="s">
        <v>304</v>
      </c>
      <c r="I5" s="12"/>
      <c r="J5" s="9" t="s">
        <v>1</v>
      </c>
      <c r="K5" t="s">
        <v>305</v>
      </c>
    </row>
    <row r="6" spans="1:11" x14ac:dyDescent="0.3">
      <c r="A6" s="10" t="s">
        <v>229</v>
      </c>
      <c r="B6">
        <v>351</v>
      </c>
      <c r="C6" s="12"/>
      <c r="D6" s="10" t="s">
        <v>165</v>
      </c>
      <c r="E6">
        <v>143</v>
      </c>
      <c r="F6" s="12"/>
      <c r="G6" s="10" t="s">
        <v>229</v>
      </c>
      <c r="H6" s="11">
        <v>0.70199999999999996</v>
      </c>
      <c r="I6" s="12"/>
      <c r="J6" s="10" t="s">
        <v>165</v>
      </c>
      <c r="K6" s="11">
        <v>0.71399999999999997</v>
      </c>
    </row>
    <row r="7" spans="1:11" x14ac:dyDescent="0.3">
      <c r="A7" s="10" t="s">
        <v>181</v>
      </c>
      <c r="B7">
        <v>351</v>
      </c>
      <c r="C7" s="12"/>
      <c r="D7" s="10" t="s">
        <v>37</v>
      </c>
      <c r="E7">
        <v>189</v>
      </c>
      <c r="F7" s="12"/>
      <c r="G7" s="10" t="s">
        <v>181</v>
      </c>
      <c r="H7" s="11">
        <v>0.70199999999999996</v>
      </c>
      <c r="I7" s="12"/>
      <c r="J7" s="10" t="s">
        <v>37</v>
      </c>
      <c r="K7" s="11">
        <v>0.622</v>
      </c>
    </row>
    <row r="8" spans="1:11" x14ac:dyDescent="0.3">
      <c r="A8" s="10" t="s">
        <v>69</v>
      </c>
      <c r="B8">
        <v>344</v>
      </c>
      <c r="C8" s="12"/>
      <c r="D8" s="10" t="s">
        <v>101</v>
      </c>
      <c r="E8">
        <v>207</v>
      </c>
      <c r="F8" s="12"/>
      <c r="G8" s="10" t="s">
        <v>69</v>
      </c>
      <c r="H8" s="11">
        <v>0.68799999999999994</v>
      </c>
      <c r="I8" s="12"/>
      <c r="J8" s="10" t="s">
        <v>101</v>
      </c>
      <c r="K8" s="11">
        <v>0.58600000000000008</v>
      </c>
    </row>
    <row r="9" spans="1:11" x14ac:dyDescent="0.3">
      <c r="A9" s="10" t="s">
        <v>13</v>
      </c>
      <c r="B9">
        <v>339</v>
      </c>
      <c r="C9" s="12"/>
      <c r="D9" s="10" t="s">
        <v>213</v>
      </c>
      <c r="E9">
        <v>245</v>
      </c>
      <c r="F9" s="12"/>
      <c r="G9" s="10" t="s">
        <v>13</v>
      </c>
      <c r="H9" s="11">
        <v>0.67800000000000005</v>
      </c>
      <c r="I9" s="12"/>
      <c r="J9" s="10" t="s">
        <v>213</v>
      </c>
      <c r="K9" s="11">
        <v>0.51</v>
      </c>
    </row>
    <row r="10" spans="1:11" x14ac:dyDescent="0.3">
      <c r="A10" s="10" t="s">
        <v>85</v>
      </c>
      <c r="B10">
        <v>332</v>
      </c>
      <c r="C10" s="12"/>
      <c r="D10" s="10" t="s">
        <v>197</v>
      </c>
      <c r="E10">
        <v>281</v>
      </c>
      <c r="F10" s="12"/>
      <c r="G10" s="10" t="s">
        <v>85</v>
      </c>
      <c r="H10" s="11">
        <v>0.66400000000000003</v>
      </c>
      <c r="I10" s="12"/>
      <c r="J10" s="10" t="s">
        <v>197</v>
      </c>
      <c r="K10" s="11">
        <v>0.43799999999999994</v>
      </c>
    </row>
    <row r="11" spans="1:11" x14ac:dyDescent="0.3">
      <c r="A11" s="10" t="s">
        <v>303</v>
      </c>
      <c r="B11">
        <v>1717</v>
      </c>
      <c r="C11" s="12"/>
      <c r="D11" s="10" t="s">
        <v>303</v>
      </c>
      <c r="E11">
        <v>1065</v>
      </c>
      <c r="F11" s="12"/>
      <c r="G11" s="10" t="s">
        <v>303</v>
      </c>
      <c r="H11" s="11">
        <v>3.4340000000000002</v>
      </c>
      <c r="I11" s="12"/>
      <c r="J11" s="10" t="s">
        <v>303</v>
      </c>
      <c r="K11" s="11">
        <v>2.87</v>
      </c>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row r="20" spans="1:11" x14ac:dyDescent="0.3">
      <c r="A20" s="12"/>
      <c r="B20" s="12"/>
      <c r="C20" s="12"/>
      <c r="D20" s="12"/>
      <c r="E20" s="12"/>
      <c r="F20" s="12"/>
      <c r="G20" s="12"/>
      <c r="H20" s="12"/>
      <c r="I20" s="12"/>
      <c r="J20" s="12"/>
      <c r="K20" s="12"/>
    </row>
    <row r="21" spans="1:11" x14ac:dyDescent="0.3">
      <c r="A21" s="12"/>
      <c r="B21" s="12"/>
      <c r="C21" s="12"/>
      <c r="D21" s="12"/>
      <c r="E21" s="12"/>
      <c r="F21" s="12"/>
      <c r="G21" s="12"/>
      <c r="H21" s="12"/>
      <c r="I21" s="12"/>
      <c r="J21" s="12"/>
      <c r="K21" s="12"/>
    </row>
    <row r="22" spans="1:11" x14ac:dyDescent="0.3">
      <c r="A22" s="12"/>
      <c r="B22" s="12"/>
      <c r="C22" s="12"/>
      <c r="D22" s="12"/>
      <c r="E22" s="12"/>
      <c r="F22" s="12"/>
      <c r="G22" s="12"/>
      <c r="H22" s="12"/>
      <c r="I22" s="12"/>
      <c r="J22" s="12"/>
      <c r="K22"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5" r:id="rId7" name="Check Box 1">
              <controlPr defaultSize="0" autoFill="0" autoLine="0" autoPict="0" macro="[0]!Module2.SlicerConnection">
                <anchor moveWithCells="1">
                  <from>
                    <xdr:col>0</xdr:col>
                    <xdr:colOff>381000</xdr:colOff>
                    <xdr:row>4</xdr:row>
                    <xdr:rowOff>0</xdr:rowOff>
                  </from>
                  <to>
                    <xdr:col>1</xdr:col>
                    <xdr:colOff>15240</xdr:colOff>
                    <xdr:row>5</xdr:row>
                    <xdr:rowOff>30480</xdr:rowOff>
                  </to>
                </anchor>
              </controlPr>
            </control>
          </mc:Choice>
        </mc:AlternateContent>
        <mc:AlternateContent xmlns:mc="http://schemas.openxmlformats.org/markup-compatibility/2006">
          <mc:Choice Requires="x14">
            <control shapeId="1031" r:id="rId8" name="Check Box 7">
              <controlPr defaultSize="0" autoFill="0" autoLine="0" autoPict="0" macro="[0]!Module2.SlicerConnection">
                <anchor moveWithCells="1">
                  <from>
                    <xdr:col>3</xdr:col>
                    <xdr:colOff>647700</xdr:colOff>
                    <xdr:row>4</xdr:row>
                    <xdr:rowOff>0</xdr:rowOff>
                  </from>
                  <to>
                    <xdr:col>4</xdr:col>
                    <xdr:colOff>60960</xdr:colOff>
                    <xdr:row>5</xdr:row>
                    <xdr:rowOff>30480</xdr:rowOff>
                  </to>
                </anchor>
              </controlPr>
            </control>
          </mc:Choice>
        </mc:AlternateContent>
        <mc:AlternateContent xmlns:mc="http://schemas.openxmlformats.org/markup-compatibility/2006">
          <mc:Choice Requires="x14">
            <control shapeId="1032" r:id="rId9" name="Check Box 8">
              <controlPr defaultSize="0" autoFill="0" autoLine="0" autoPict="0" macro="[0]!Module2.SlicerConnection">
                <anchor moveWithCells="1">
                  <from>
                    <xdr:col>6</xdr:col>
                    <xdr:colOff>510540</xdr:colOff>
                    <xdr:row>4</xdr:row>
                    <xdr:rowOff>0</xdr:rowOff>
                  </from>
                  <to>
                    <xdr:col>7</xdr:col>
                    <xdr:colOff>144780</xdr:colOff>
                    <xdr:row>5</xdr:row>
                    <xdr:rowOff>30480</xdr:rowOff>
                  </to>
                </anchor>
              </controlPr>
            </control>
          </mc:Choice>
        </mc:AlternateContent>
        <mc:AlternateContent xmlns:mc="http://schemas.openxmlformats.org/markup-compatibility/2006">
          <mc:Choice Requires="x14">
            <control shapeId="1033" r:id="rId10" name="Check Box 9">
              <controlPr defaultSize="0" autoFill="0" autoLine="0" autoPict="0" macro="[0]!Module2.SlicerConnection">
                <anchor moveWithCells="1">
                  <from>
                    <xdr:col>9</xdr:col>
                    <xdr:colOff>746760</xdr:colOff>
                    <xdr:row>4</xdr:row>
                    <xdr:rowOff>0</xdr:rowOff>
                  </from>
                  <to>
                    <xdr:col>10</xdr:col>
                    <xdr:colOff>160020</xdr:colOff>
                    <xdr:row>5</xdr:row>
                    <xdr:rowOff>30480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tabSelected="1" zoomScale="130" zoomScaleNormal="130" workbookViewId="0">
      <selection activeCell="G18" sqref="G18"/>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Pranay Choudhary</cp:lastModifiedBy>
  <dcterms:created xsi:type="dcterms:W3CDTF">2022-05-30T01:30:00Z</dcterms:created>
  <dcterms:modified xsi:type="dcterms:W3CDTF">2026-10-28T15:27:21Z</dcterms:modified>
</cp:coreProperties>
</file>